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s" sheetId="1" state="visible" r:id="rId3"/>
    <sheet name="Loadouts" sheetId="2" state="visible" r:id="rId4"/>
    <sheet name="Controls" sheetId="3" state="visible" r:id="rId5"/>
    <sheet name="Interactions" sheetId="4" state="visible" r:id="rId6"/>
    <sheet name="Equa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<sst xmlns="http://schemas.openxmlformats.org/spreadsheetml/2006/main" count="355" uniqueCount="323">
  <si>
    <t xml:space="preserve">MILLION2ONE — WEAPON SYSTEM DESIGN</t>
  </si>
  <si>
    <t xml:space="preserve">One gun. Infinite configurations. Share your loadout as a hex code.</t>
  </si>
  <si>
    <t xml:space="preserve">CORE PARAMETERS</t>
  </si>
  <si>
    <t xml:space="preserve">Parameter</t>
  </si>
  <si>
    <t xml:space="preserve">Range</t>
  </si>
  <si>
    <t xml:space="preserve">Hex Byte</t>
  </si>
  <si>
    <t xml:space="preserve">Effect at Max (255)</t>
  </si>
  <si>
    <t xml:space="preserve">Heat Cost per Shot</t>
  </si>
  <si>
    <t xml:space="preserve">Notes</t>
  </si>
  <si>
    <t xml:space="preserve">SPREAD</t>
  </si>
  <si>
    <t xml:space="preserve">0–255</t>
  </si>
  <si>
    <t xml:space="preserve">SS</t>
  </si>
  <si>
    <t xml:space="preserve">Wide cone (~60°), shotgun-like</t>
  </si>
  <si>
    <t xml:space="preserve">Low (×0.3)</t>
  </si>
  <si>
    <t xml:space="preserve">At 0: single tight beam. Particles fan out in a cone.</t>
  </si>
  <si>
    <t xml:space="preserve">RATE</t>
  </si>
  <si>
    <t xml:space="preserve">RR</t>
  </si>
  <si>
    <t xml:space="preserve">20 shots/sec, bullet hose</t>
  </si>
  <si>
    <t xml:space="preserve">High (×1.5)</t>
  </si>
  <si>
    <t xml:space="preserve">Multiplies heat generation per second (more shots = more heat).</t>
  </si>
  <si>
    <t xml:space="preserve">POWER</t>
  </si>
  <si>
    <t xml:space="preserve">PP</t>
  </si>
  <si>
    <t xml:space="preserve">1-hit kill on any enemy</t>
  </si>
  <si>
    <t xml:space="preserve">High (×1.2)</t>
  </si>
  <si>
    <t xml:space="preserve">At 0: tickle damage. Affects projectile size + splash radius.</t>
  </si>
  <si>
    <t xml:space="preserve">SPEED</t>
  </si>
  <si>
    <t xml:space="preserve">FF</t>
  </si>
  <si>
    <t xml:space="preserve">Hitscan-like, ~300 m/s</t>
  </si>
  <si>
    <t xml:space="preserve">Medium (×0.8)</t>
  </si>
  <si>
    <t xml:space="preserve">Slower = easier to dodge for enemies (future AI). Affects trail length.</t>
  </si>
  <si>
    <t xml:space="preserve">HEX ENCODING FORMAT</t>
  </si>
  <si>
    <t xml:space="preserve">#SSRRPPFF  →  e.g. #FF401A80  =  Max Spread, Low Rate, Low Power, Mid Speed</t>
  </si>
  <si>
    <t xml:space="preserve">Looks like a CSS color code — easy to share in Discord, tweets, forums. 4 bytes = 8 hex chars.</t>
  </si>
  <si>
    <t xml:space="preserve">HEAT SYSTEM</t>
  </si>
  <si>
    <t xml:space="preserve">Property</t>
  </si>
  <si>
    <t xml:space="preserve">Value</t>
  </si>
  <si>
    <t xml:space="preserve">Formula / Logic</t>
  </si>
  <si>
    <t xml:space="preserve">Max Heat</t>
  </si>
  <si>
    <t xml:space="preserve">100</t>
  </si>
  <si>
    <t xml:space="preserve">Fixed constant</t>
  </si>
  <si>
    <t xml:space="preserve">At 100 → GUN EXPLODES → player dies</t>
  </si>
  <si>
    <t xml:space="preserve">Heat per Shot</t>
  </si>
  <si>
    <t xml:space="preserve">—</t>
  </si>
  <si>
    <t xml:space="preserve">0.3×S + 1.5×R + 1.2×P + 0.8×F</t>
  </si>
  <si>
    <t xml:space="preserve">S,R,P,F normalized to 0–1 (value/255)</t>
  </si>
  <si>
    <t xml:space="preserve">Passive Cooling</t>
  </si>
  <si>
    <t xml:space="preserve">5 /sec</t>
  </si>
  <si>
    <t xml:space="preserve">heat -= 5 × dt</t>
  </si>
  <si>
    <t xml:space="preserve">Always active, even while shooting</t>
  </si>
  <si>
    <t xml:space="preserve">Overheat Threshold</t>
  </si>
  <si>
    <t xml:space="preserve">If heat ≥ 100 → BOOM</t>
  </si>
  <si>
    <t xml:space="preserve">Visual warning starts at 80 (pulsing red)</t>
  </si>
  <si>
    <t xml:space="preserve">Warning Zone</t>
  </si>
  <si>
    <t xml:space="preserve">80–99</t>
  </si>
  <si>
    <t xml:space="preserve">Screen edges glow red, gun shakes</t>
  </si>
  <si>
    <t xml:space="preserve">Audio: rising hiss/whine</t>
  </si>
  <si>
    <t xml:space="preserve">Safe Zone</t>
  </si>
  <si>
    <t xml:space="preserve">0–50</t>
  </si>
  <si>
    <t xml:space="preserve">No visual warnings</t>
  </si>
  <si>
    <t xml:space="preserve">HUD bar is green</t>
  </si>
  <si>
    <t xml:space="preserve">Caution Zone</t>
  </si>
  <si>
    <t xml:space="preserve">50–79</t>
  </si>
  <si>
    <t xml:space="preserve">HUD bar turns orange</t>
  </si>
  <si>
    <t xml:space="preserve">Subtle gun glow begins</t>
  </si>
  <si>
    <t xml:space="preserve">HEAT PER SHOT — WORKED EXAMPLE</t>
  </si>
  <si>
    <t xml:space="preserve">Spread (S)</t>
  </si>
  <si>
    <t xml:space="preserve">Rate (R)</t>
  </si>
  <si>
    <t xml:space="preserve">Power (P)</t>
  </si>
  <si>
    <t xml:space="preserve">Speed (F)</t>
  </si>
  <si>
    <t xml:space="preserve">Heat/Shot</t>
  </si>
  <si>
    <t xml:space="preserve">Shots to Explode</t>
  </si>
  <si>
    <t xml:space="preserve">Raw Value (0–255)</t>
  </si>
  <si>
    <t xml:space="preserve">Normalized (÷255)</t>
  </si>
  <si>
    <t xml:space="preserve">Weighted Cost</t>
  </si>
  <si>
    <t xml:space="preserve">TOTALS</t>
  </si>
  <si>
    <t xml:space="preserve">With passive cooling of 5/sec, effective heat gain = (heatPerShot × shotsPerSec) - 5.  Sustainable fire = when effective gain ≤ 0.</t>
  </si>
  <si>
    <t xml:space="preserve">VENTING / THRUST SYSTEM</t>
  </si>
  <si>
    <t xml:space="preserve">Vent Rate</t>
  </si>
  <si>
    <t xml:space="preserve">33 /sec</t>
  </si>
  <si>
    <t xml:space="preserve">heat -= 33 × dt  (while held)</t>
  </si>
  <si>
    <t xml:space="preserve">~3 sec to vent full bar (100 → 0)</t>
  </si>
  <si>
    <t xml:space="preserve">Thrust Force</t>
  </si>
  <si>
    <t xml:space="preserve">Proportional</t>
  </si>
  <si>
    <t xml:space="preserve">thrust = ventRate × dt × thrustMult</t>
  </si>
  <si>
    <t xml:space="preserve">Low heat = low thrust. Must build heat to fly!</t>
  </si>
  <si>
    <t xml:space="preserve">Thrust Multiplier</t>
  </si>
  <si>
    <t xml:space="preserve">15</t>
  </si>
  <si>
    <t xml:space="preserve">velocity += lookDir × thrust × 15</t>
  </si>
  <si>
    <t xml:space="preserve">Tune for feel — should be meaningful but not instant</t>
  </si>
  <si>
    <t xml:space="preserve">Thrust Direction</t>
  </si>
  <si>
    <t xml:space="preserve">Look dir</t>
  </si>
  <si>
    <t xml:space="preserve">Camera forward vector (or +Y if V+Space)</t>
  </si>
  <si>
    <t xml:space="preserve">V+Space = pure vertical boost for advanced play</t>
  </si>
  <si>
    <t xml:space="preserve">Can Shoot?</t>
  </si>
  <si>
    <t xml:space="preserve">NO</t>
  </si>
  <si>
    <t xml:space="preserve">Shooting disabled while vent held</t>
  </si>
  <si>
    <t xml:space="preserve">Forces tactical choice: shoot or move?</t>
  </si>
  <si>
    <t xml:space="preserve">Can Switch Loadout?</t>
  </si>
  <si>
    <t xml:space="preserve">YES</t>
  </si>
  <si>
    <t xml:space="preserve">Loadout switch allowed while venting</t>
  </si>
  <si>
    <t xml:space="preserve">Hot-swap mid-vent for skilled combos</t>
  </si>
  <si>
    <t xml:space="preserve">Vent Key</t>
  </si>
  <si>
    <t xml:space="preserve">V</t>
  </si>
  <si>
    <t xml:space="preserve">Hold to vent. Release to stop.</t>
  </si>
  <si>
    <t xml:space="preserve">Partial vent = partial thrust. Pulse for flight!</t>
  </si>
  <si>
    <t xml:space="preserve">Visual FX</t>
  </si>
  <si>
    <t xml:space="preserve">Jet exhaust particles from gun barrel</t>
  </si>
  <si>
    <t xml:space="preserve">More heat = bigger/brighter exhaust plume</t>
  </si>
  <si>
    <t xml:space="preserve">Audio</t>
  </si>
  <si>
    <t xml:space="preserve">Hissing/whoosh, pitch ∝ heat level</t>
  </si>
  <si>
    <t xml:space="preserve">Louder at high heat, fades as heat drops</t>
  </si>
  <si>
    <t xml:space="preserve">FLIGHT LOOP — SKILLED PLAY PATTERN</t>
  </si>
  <si>
    <t xml:space="preserve">1. SHOOT</t>
  </si>
  <si>
    <t xml:space="preserve">Fire high-heat config to build heat quickly</t>
  </si>
  <si>
    <t xml:space="preserve">Heat rises from 0 → ~60 in a burst</t>
  </si>
  <si>
    <t xml:space="preserve">2. VENT (1s)</t>
  </si>
  <si>
    <t xml:space="preserve">Hold V, aim where you want to go</t>
  </si>
  <si>
    <t xml:space="preserve">Heat drops 60→27, gain ~5 m/s velocity</t>
  </si>
  <si>
    <t xml:space="preserve">3. SHOOT</t>
  </si>
  <si>
    <t xml:space="preserve">Fire another burst while airborne</t>
  </si>
  <si>
    <t xml:space="preserve">Heat rises 27 → ~80 (danger zone!)</t>
  </si>
  <si>
    <t xml:space="preserve">4. VENT (1.5s)</t>
  </si>
  <si>
    <t xml:space="preserve">Longer vent to dump heat + boost further</t>
  </si>
  <si>
    <t xml:space="preserve">Heat drops 80→30, gain ~7 m/s velocity</t>
  </si>
  <si>
    <t xml:space="preserve">5. REPEAT</t>
  </si>
  <si>
    <t xml:space="preserve">Pulse between shooting and venting</t>
  </si>
  <si>
    <t xml:space="preserve">Skilled players maintain altitude indefinitely</t>
  </si>
  <si>
    <t xml:space="preserve">EXAMPLE LOADOUTS — ARCHETYPES</t>
  </si>
  <si>
    <t xml:space="preserve">Archetype</t>
  </si>
  <si>
    <t xml:space="preserve">Spread</t>
  </si>
  <si>
    <t xml:space="preserve">Rate</t>
  </si>
  <si>
    <t xml:space="preserve">Power</t>
  </si>
  <si>
    <t xml:space="preserve">Speed</t>
  </si>
  <si>
    <t xml:space="preserve">Hex Code</t>
  </si>
  <si>
    <t xml:space="preserve">Play Style</t>
  </si>
  <si>
    <t xml:space="preserve">SNIPER</t>
  </si>
  <si>
    <t xml:space="preserve">Slow, precise, devastating single shots</t>
  </si>
  <si>
    <t xml:space="preserve">SHOTGUN</t>
  </si>
  <si>
    <t xml:space="preserve">Wide spread, punishing up close</t>
  </si>
  <si>
    <t xml:space="preserve">MINIGUN</t>
  </si>
  <si>
    <t xml:space="preserve">Wall of bullets, low power, overheats fast</t>
  </si>
  <si>
    <t xml:space="preserve">FLAMETHROWER</t>
  </si>
  <si>
    <t xml:space="preserve">Close range spray, slow projectiles</t>
  </si>
  <si>
    <t xml:space="preserve">ROCKET JUMPER</t>
  </si>
  <si>
    <t xml:space="preserve">Max heat build for venting flight</t>
  </si>
  <si>
    <t xml:space="preserve">BALANCED</t>
  </si>
  <si>
    <t xml:space="preserve">Jack of all trades, sustainable fire</t>
  </si>
  <si>
    <t xml:space="preserve">GLASS CANNON</t>
  </si>
  <si>
    <t xml:space="preserve">Pinpoint devastation, 2-3 shots then vent</t>
  </si>
  <si>
    <t xml:space="preserve">SUPPRESSOR</t>
  </si>
  <si>
    <t xml:space="preserve">Area denial, constant low-power stream</t>
  </si>
  <si>
    <t xml:space="preserve">SHOTS TO OVERHEAT (from cold): each loadout's heat/shot → 100 / heat = # shots before explosion</t>
  </si>
  <si>
    <t xml:space="preserve">CONTROLS &amp; KEY BINDINGS</t>
  </si>
  <si>
    <t xml:space="preserve">IN-GAME — PARAMETER ADJUSTMENT</t>
  </si>
  <si>
    <t xml:space="preserve">Key</t>
  </si>
  <si>
    <t xml:space="preserve">Action</t>
  </si>
  <si>
    <t xml:space="preserve">Details</t>
  </si>
  <si>
    <t xml:space="preserve">Hold 1 + Mouse ←→</t>
  </si>
  <si>
    <t xml:space="preserve">Adjust SPREAD</t>
  </si>
  <si>
    <t xml:space="preserve">Left = tighter, Right = wider. Real-time feedback on crosshair.</t>
  </si>
  <si>
    <t xml:space="preserve">Hold 2 + Mouse ←→</t>
  </si>
  <si>
    <t xml:space="preserve">Adjust RATE</t>
  </si>
  <si>
    <t xml:space="preserve">Left = slower, Right = faster. Hear fire rate change.</t>
  </si>
  <si>
    <t xml:space="preserve">Hold 3 + Mouse ←→</t>
  </si>
  <si>
    <t xml:space="preserve">Adjust POWER</t>
  </si>
  <si>
    <t xml:space="preserve">Left = weaker, Right = stronger. See projectile size change.</t>
  </si>
  <si>
    <t xml:space="preserve">Hold 4 + Mouse ←→</t>
  </si>
  <si>
    <t xml:space="preserve">Adjust SPEED</t>
  </si>
  <si>
    <t xml:space="preserve">Left = slower projectile, Right = faster. See trail change.</t>
  </si>
  <si>
    <t xml:space="preserve">V (hold)</t>
  </si>
  <si>
    <t xml:space="preserve">VENT HEAT</t>
  </si>
  <si>
    <t xml:space="preserve">Convert heat to thrust. Direction = where you look.</t>
  </si>
  <si>
    <t xml:space="preserve">V + Space (hold)</t>
  </si>
  <si>
    <t xml:space="preserve">VENT UPWARD</t>
  </si>
  <si>
    <t xml:space="preserve">Pure vertical thrust for quick altitude gain.</t>
  </si>
  <si>
    <t xml:space="preserve">7 / 8 / 9</t>
  </si>
  <si>
    <t xml:space="preserve">Load Preset 1/2/3</t>
  </si>
  <si>
    <t xml:space="preserve">Instantly load saved configuration. Heat carries over!</t>
  </si>
  <si>
    <t xml:space="preserve">T</t>
  </si>
  <si>
    <t xml:space="preserve">Cycle Presets</t>
  </si>
  <si>
    <t xml:space="preserve">Quick-cycle through presets 1→2→3→1.</t>
  </si>
  <si>
    <t xml:space="preserve">TAB</t>
  </si>
  <si>
    <t xml:space="preserve">Gun Inspect Mode</t>
  </si>
  <si>
    <t xml:space="preserve">Look down at gun, see all parameters. Time slows ~50%.</t>
  </si>
  <si>
    <t xml:space="preserve">PRESET MANAGEMENT</t>
  </si>
  <si>
    <t xml:space="preserve">Saving</t>
  </si>
  <si>
    <t xml:space="preserve">TAB + 7/8/9</t>
  </si>
  <si>
    <t xml:space="preserve">While in inspect mode, press 7/8/9 to save current config to that slot.</t>
  </si>
  <si>
    <t xml:space="preserve">Loading</t>
  </si>
  <si>
    <t xml:space="preserve">Tap in-game to instantly switch. Heat is NOT reset on switch.</t>
  </si>
  <si>
    <t xml:space="preserve">Cycling</t>
  </si>
  <si>
    <t xml:space="preserve">Quick cycle 1→2→3→1 without remembering which slot.</t>
  </si>
  <si>
    <t xml:space="preserve">Sharing</t>
  </si>
  <si>
    <t xml:space="preserve">Copy hex code</t>
  </si>
  <si>
    <t xml:space="preserve">From inspect mode: copies #SSRRPPFF to clipboard.</t>
  </si>
  <si>
    <t xml:space="preserve">Importing</t>
  </si>
  <si>
    <t xml:space="preserve">Paste hex code</t>
  </si>
  <si>
    <t xml:space="preserve">In inspect mode: paste a code to load someone else's config.</t>
  </si>
  <si>
    <t xml:space="preserve">PARAMETER INTERACTIONS &amp; EDGE CASES</t>
  </si>
  <si>
    <t xml:space="preserve">PARAMETER INTERACTIONS</t>
  </si>
  <si>
    <t xml:space="preserve">Combo</t>
  </si>
  <si>
    <t xml:space="preserve">Result</t>
  </si>
  <si>
    <t xml:space="preserve">Gameplay Effect</t>
  </si>
  <si>
    <t xml:space="preserve">High Spread + High Rate</t>
  </si>
  <si>
    <t xml:space="preserve">Short-range chaos. Massive heat buildup — 1–2 sec before overheat.</t>
  </si>
  <si>
    <t xml:space="preserve">Low Spread + High Power</t>
  </si>
  <si>
    <t xml:space="preserve">Precision devastation. 3–5 shots from cold before danger zone.</t>
  </si>
  <si>
    <t xml:space="preserve">High Rate + Low Power</t>
  </si>
  <si>
    <t xml:space="preserve">Bullet hose. Feels powerful but each hit is weak. Heat ∝ rate.</t>
  </si>
  <si>
    <t xml:space="preserve">Max Everything</t>
  </si>
  <si>
    <t xml:space="preserve">DEATH WISH</t>
  </si>
  <si>
    <t xml:space="preserve">Maybe 2 shots before explosion. Ultimate glass cannon.</t>
  </si>
  <si>
    <t xml:space="preserve">All Low</t>
  </si>
  <si>
    <t xml:space="preserve">PEA SHOOTER</t>
  </si>
  <si>
    <t xml:space="preserve">Sustainable forever. Practically no heat. Practically no damage.</t>
  </si>
  <si>
    <t xml:space="preserve">High Power + High Speed</t>
  </si>
  <si>
    <t xml:space="preserve">RAILGUN</t>
  </si>
  <si>
    <t xml:space="preserve">Fast, heavy hits. High heat per shot but low rate = manageable.</t>
  </si>
  <si>
    <t xml:space="preserve">High Spread + Low Speed</t>
  </si>
  <si>
    <t xml:space="preserve">MINE LAYER</t>
  </si>
  <si>
    <t xml:space="preserve">Slow projectiles spread out and linger. Area denial.</t>
  </si>
  <si>
    <t xml:space="preserve">High Rate + High Speed</t>
  </si>
  <si>
    <t xml:space="preserve">LASER</t>
  </si>
  <si>
    <t xml:space="preserve">Stream of fast particles. Medium damage, very high heat.</t>
  </si>
  <si>
    <t xml:space="preserve">EDGE CASES &amp; RULES</t>
  </si>
  <si>
    <t xml:space="preserve">Scenario</t>
  </si>
  <si>
    <t xml:space="preserve">What Happens</t>
  </si>
  <si>
    <t xml:space="preserve">Design Reasoning</t>
  </si>
  <si>
    <t xml:space="preserve">Heat at 100</t>
  </si>
  <si>
    <t xml:space="preserve">Gun explodes. Player dies instantly.</t>
  </si>
  <si>
    <t xml:space="preserve">No grace period. Learn the line or die.</t>
  </si>
  <si>
    <t xml:space="preserve">Vent at Heat 0</t>
  </si>
  <si>
    <t xml:space="preserve">Nothing happens. No thrust, no animation.</t>
  </si>
  <si>
    <t xml:space="preserve">Can't cheat free movement.</t>
  </si>
  <si>
    <t xml:space="preserve">Vent at Heat 5</t>
  </si>
  <si>
    <t xml:space="preserve">Tiny puff. Barely moves you.</t>
  </si>
  <si>
    <t xml:space="preserve">Proportional thrust — must earn your boost.</t>
  </si>
  <si>
    <t xml:space="preserve">Switch loadout while venting</t>
  </si>
  <si>
    <t xml:space="preserve">Allowed. Heat carries over.</t>
  </si>
  <si>
    <t xml:space="preserve">Advanced: vent on high-heat config, switch to sniper mid-air.</t>
  </si>
  <si>
    <t xml:space="preserve">Switch loadout mid-shoot</t>
  </si>
  <si>
    <t xml:space="preserve">Instant switch. Next shot uses new config.</t>
  </si>
  <si>
    <t xml:space="preserve">No animation delay — it's the same gun, just reconfigured.</t>
  </si>
  <si>
    <t xml:space="preserve">All params at 0</t>
  </si>
  <si>
    <t xml:space="preserve">Gun fires but does essentially nothing.</t>
  </si>
  <si>
    <t xml:space="preserve">Zero heat cost. Infinite weak peas.</t>
  </si>
  <si>
    <t xml:space="preserve">Adjust param while shooting</t>
  </si>
  <si>
    <t xml:space="preserve">Takes effect on NEXT shot.</t>
  </si>
  <si>
    <t xml:space="preserve">Current projectiles keep their birth config.</t>
  </si>
  <si>
    <t xml:space="preserve">Die with max heat</t>
  </si>
  <si>
    <t xml:space="preserve">Explosion death — extra dramatic visual.</t>
  </si>
  <si>
    <t xml:space="preserve">Could show heat bar on death screen for learning.</t>
  </si>
  <si>
    <t xml:space="preserve">Share code with 0s</t>
  </si>
  <si>
    <t xml:space="preserve">#00000000 is valid. The "pacifist" loadout.</t>
  </si>
  <si>
    <t xml:space="preserve">Could be an easter egg / achievement.</t>
  </si>
  <si>
    <t xml:space="preserve">EQUATIONS REFERENCE — IMPLEMENTATION</t>
  </si>
  <si>
    <t xml:space="preserve">NORMALIZED PARAMETERS</t>
  </si>
  <si>
    <t xml:space="preserve">Variable</t>
  </si>
  <si>
    <t xml:space="preserve">Formula</t>
  </si>
  <si>
    <t xml:space="preserve">s, r, p, f</t>
  </si>
  <si>
    <t xml:space="preserve">raw_value / 255</t>
  </si>
  <si>
    <t xml:space="preserve">All params normalized to 0.0–1.0 for formulas</t>
  </si>
  <si>
    <t xml:space="preserve">HEAT EQUATIONS</t>
  </si>
  <si>
    <t xml:space="preserve">Name</t>
  </si>
  <si>
    <t xml:space="preserve">hps = 0.3s + 1.5r + 1.2p + 0.8f</t>
  </si>
  <si>
    <t xml:space="preserve">Max possible: 0.3+1.5+1.2+0.8 = 3.8 per shot</t>
  </si>
  <si>
    <t xml:space="preserve">heat -= COOL_RATE × dt</t>
  </si>
  <si>
    <t xml:space="preserve">COOL_RATE = 5.0 units/sec</t>
  </si>
  <si>
    <t xml:space="preserve">Heat After Shot</t>
  </si>
  <si>
    <t xml:space="preserve">heat = min(heat + hps, 100)</t>
  </si>
  <si>
    <t xml:space="preserve">Clamp to 100 — if ≥100, explode</t>
  </si>
  <si>
    <t xml:space="preserve">Overheat Check</t>
  </si>
  <si>
    <t xml:space="preserve">if heat &gt;= 100: explode()</t>
  </si>
  <si>
    <t xml:space="preserve">Checked AFTER adding heat from shot</t>
  </si>
  <si>
    <t xml:space="preserve">Sustainable Rate</t>
  </si>
  <si>
    <t xml:space="preserve">maxSPS = COOL_RATE / hps</t>
  </si>
  <si>
    <t xml:space="preserve">Shots/sec where cooling matches generation</t>
  </si>
  <si>
    <t xml:space="preserve">Time to Overheat</t>
  </si>
  <si>
    <t xml:space="preserve">tOH = 100 / (hps × sps - COOL_RATE)</t>
  </si>
  <si>
    <t xml:space="preserve">From cold, at given shots-per-second</t>
  </si>
  <si>
    <t xml:space="preserve">VENTING EQUATIONS</t>
  </si>
  <si>
    <t xml:space="preserve">ventPerSec = 33.3</t>
  </si>
  <si>
    <t xml:space="preserve">3 sec to vent full bar (100/33.3 ≈ 3.0s)</t>
  </si>
  <si>
    <t xml:space="preserve">Heat Drain</t>
  </si>
  <si>
    <t xml:space="preserve">heat -= ventPerSec × dt</t>
  </si>
  <si>
    <t xml:space="preserve">Continuous while V is held, clamp ≥ 0</t>
  </si>
  <si>
    <t xml:space="preserve">Thrust per Frame</t>
  </si>
  <si>
    <t xml:space="preserve">thrust = ventPerSec × dt × thrustMult</t>
  </si>
  <si>
    <t xml:space="preserve">thrustMult = 15 (tuning constant)</t>
  </si>
  <si>
    <t xml:space="preserve">Velocity Change</t>
  </si>
  <si>
    <t xml:space="preserve">vel += lookDir × thrust</t>
  </si>
  <si>
    <t xml:space="preserve">lookDir = camera.forward or (0,1,0) for V+Space</t>
  </si>
  <si>
    <t xml:space="preserve">Thrust at Heat 80</t>
  </si>
  <si>
    <t xml:space="preserve">thrust₈₀ = same formula, but heat drains fast</t>
  </si>
  <si>
    <t xml:space="preserve">Big initial push, tapering as heat drops</t>
  </si>
  <si>
    <t xml:space="preserve">Thrust at Heat 10</t>
  </si>
  <si>
    <t xml:space="preserve">thrust₁₀ = same formula, but only for 0.3s</t>
  </si>
  <si>
    <t xml:space="preserve">Barely a nudge — must build heat first</t>
  </si>
  <si>
    <t xml:space="preserve">Gravity</t>
  </si>
  <si>
    <t xml:space="preserve">vel.y -= 9.81 × dt</t>
  </si>
  <si>
    <t xml:space="preserve">Player always falls — venting fights gravity</t>
  </si>
  <si>
    <t xml:space="preserve">Air Friction</t>
  </si>
  <si>
    <t xml:space="preserve">vel *= (1 - 0.5 × dt)</t>
  </si>
  <si>
    <t xml:space="preserve">Slight drag so you slow down in air</t>
  </si>
  <si>
    <t xml:space="preserve">WEAPON EFFECT EQUATIONS</t>
  </si>
  <si>
    <t xml:space="preserve">Cone Angle</t>
  </si>
  <si>
    <t xml:space="preserve">angle = s × 60° (1.047 rad)</t>
  </si>
  <si>
    <t xml:space="preserve">Spread=0 → 0° (tight), Spread=1 → 60° cone</t>
  </si>
  <si>
    <t xml:space="preserve">Fire Interval</t>
  </si>
  <si>
    <t xml:space="preserve">interval = lerp(0.5, 0.05, r)</t>
  </si>
  <si>
    <t xml:space="preserve">Rate=0 → 2 sps, Rate=1 → 20 sps</t>
  </si>
  <si>
    <t xml:space="preserve">Projectile Speed</t>
  </si>
  <si>
    <t xml:space="preserve">speed = lerp(30, 300, f)</t>
  </si>
  <si>
    <t xml:space="preserve">Speed=0 → 30 m/s, Speed=1 → 300 m/s</t>
  </si>
  <si>
    <t xml:space="preserve">Damage</t>
  </si>
  <si>
    <t xml:space="preserve">dmg = lerp(1, 100, p)</t>
  </si>
  <si>
    <t xml:space="preserve">Power=0 → 1 hp, Power=1 → 100 hp (1-hit kill)</t>
  </si>
  <si>
    <t xml:space="preserve">Projectile Size</t>
  </si>
  <si>
    <t xml:space="preserve">size = lerp(0.1, 0.5, p)</t>
  </si>
  <si>
    <t xml:space="preserve">Bigger = easier to hit, visual feedback for power</t>
  </si>
  <si>
    <t xml:space="preserve">Spread Offset</t>
  </si>
  <si>
    <t xml:space="preserve">dir += randomCone(angle)</t>
  </si>
  <si>
    <t xml:space="preserve">Each particle offset within cone randomly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</si>
</sst>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0"/>
      <charset val="1"/>
    </font>
    <font>
      <b val="true"/>
      <sz val="16"/>
      <color rgb="FFE8A030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3"/>
      <color rgb="FFE8A030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b val="true"/>
      <sz val="11"/>
      <color rgb="FF5599FF"/>
      <name val="Arial"/>
      <family val="0"/>
      <charset val="1"/>
    </font>
    <font>
      <sz val="11"/>
      <color rgb="FFFFAA44"/>
      <name val="Arial"/>
      <family val="0"/>
      <charset val="1"/>
    </font>
    <font>
      <sz val="11"/>
      <color rgb="FFFF6644"/>
      <name val="Arial"/>
      <family val="0"/>
      <charset val="1"/>
    </font>
    <font>
      <sz val="11"/>
      <color rgb="FF5599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sz val="11"/>
      <color rgb="FF44FF8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2D2D44"/>
        <bgColor rgb="FF333355"/>
      </patternFill>
    </fill>
    <fill>
      <patternFill patternType="solid">
        <fgColor rgb="FFE8A030"/>
        <bgColor rgb="FFFFAA44"/>
      </patternFill>
    </fill>
    <fill>
      <patternFill patternType="solid">
        <fgColor rgb="FF16213E"/>
        <bgColor rgb="FF1A1A2E"/>
      </patternFill>
    </fill>
    <fill>
      <patternFill patternType="solid">
        <fgColor rgb="FF4A1010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103A10"/>
        <bgColor rgb="FF16213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A1010"/>
      <rgbColor rgb="FF008000"/>
      <rgbColor rgb="FF16213E"/>
      <rgbColor rgb="FF808000"/>
      <rgbColor rgb="FF800080"/>
      <rgbColor rgb="FF008080"/>
      <rgbColor rgb="FFC0C0C0"/>
      <rgbColor rgb="FF888888"/>
      <rgbColor rgb="FF55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4FF88"/>
      <rgbColor rgb="FF99CC00"/>
      <rgbColor rgb="FFFFAA44"/>
      <rgbColor rgb="FFE8A030"/>
      <rgbColor rgb="FFFF6644"/>
      <rgbColor rgb="FF666699"/>
      <rgbColor rgb="FFAAAAAA"/>
      <rgbColor rgb="FF0F3460"/>
      <rgbColor rgb="FF339966"/>
      <rgbColor rgb="FF103A10"/>
      <rgbColor rgb="FF1A1A2E"/>
      <rgbColor rgb="FF993300"/>
      <rgbColor rgb="FF993366"/>
      <rgbColor rgb="FF333355"/>
      <rgbColor rgb="FF2D2D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7" min="6" style="1" width="28"/>
    <col collapsed="false" customWidth="true" hidden="false" outlineLevel="0" max="8" min="8" style="1" width="22"/>
  </cols>
  <sheetData>
    <row r="1" customFormat="false" ht="19.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2"/>
      <c r="B2" s="4" t="s">
        <v>1</v>
      </c>
      <c r="C2" s="4"/>
      <c r="D2" s="4"/>
      <c r="E2" s="4"/>
      <c r="F2" s="4"/>
      <c r="G2" s="4"/>
      <c r="H2" s="4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.75" hidden="false" customHeight="true" outlineLevel="0" collapsed="false">
      <c r="A4" s="2"/>
      <c r="B4" s="5" t="s">
        <v>2</v>
      </c>
      <c r="C4" s="5"/>
      <c r="D4" s="5"/>
      <c r="E4" s="5"/>
      <c r="F4" s="5"/>
      <c r="G4" s="5"/>
      <c r="H4" s="5"/>
    </row>
    <row r="5" customFormat="false" ht="26.25" hidden="false" customHeight="true" outlineLevel="0" collapsed="false">
      <c r="A5" s="2"/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2"/>
    </row>
    <row r="6" customFormat="false" ht="39" hidden="false" customHeight="true" outlineLevel="0" collapsed="false">
      <c r="A6" s="2"/>
      <c r="B6" s="7" t="s">
        <v>9</v>
      </c>
      <c r="C6" s="8" t="s">
        <v>10</v>
      </c>
      <c r="D6" s="8" t="s">
        <v>11</v>
      </c>
      <c r="E6" s="9" t="s">
        <v>12</v>
      </c>
      <c r="F6" s="9" t="s">
        <v>13</v>
      </c>
      <c r="G6" s="9" t="s">
        <v>14</v>
      </c>
      <c r="H6" s="2"/>
    </row>
    <row r="7" customFormat="false" ht="39" hidden="false" customHeight="true" outlineLevel="0" collapsed="false">
      <c r="A7" s="2"/>
      <c r="B7" s="10" t="s">
        <v>15</v>
      </c>
      <c r="C7" s="11" t="s">
        <v>10</v>
      </c>
      <c r="D7" s="11" t="s">
        <v>16</v>
      </c>
      <c r="E7" s="12" t="s">
        <v>17</v>
      </c>
      <c r="F7" s="12" t="s">
        <v>18</v>
      </c>
      <c r="G7" s="12" t="s">
        <v>19</v>
      </c>
      <c r="H7" s="2"/>
    </row>
    <row r="8" customFormat="false" ht="39" hidden="false" customHeight="true" outlineLevel="0" collapsed="false">
      <c r="A8" s="2"/>
      <c r="B8" s="7" t="s">
        <v>20</v>
      </c>
      <c r="C8" s="8" t="s">
        <v>10</v>
      </c>
      <c r="D8" s="8" t="s">
        <v>21</v>
      </c>
      <c r="E8" s="9" t="s">
        <v>22</v>
      </c>
      <c r="F8" s="9" t="s">
        <v>23</v>
      </c>
      <c r="G8" s="9" t="s">
        <v>24</v>
      </c>
      <c r="H8" s="2"/>
    </row>
    <row r="9" customFormat="false" ht="39" hidden="false" customHeight="true" outlineLevel="0" collapsed="false">
      <c r="A9" s="2"/>
      <c r="B9" s="10" t="s">
        <v>25</v>
      </c>
      <c r="C9" s="11" t="s">
        <v>10</v>
      </c>
      <c r="D9" s="11" t="s">
        <v>26</v>
      </c>
      <c r="E9" s="12" t="s">
        <v>27</v>
      </c>
      <c r="F9" s="12" t="s">
        <v>28</v>
      </c>
      <c r="G9" s="12" t="s">
        <v>29</v>
      </c>
      <c r="H9" s="2"/>
    </row>
    <row r="10" customFormat="false" ht="15" hidden="false" customHeight="tru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15.75" hidden="false" customHeight="true" outlineLevel="0" collapsed="false">
      <c r="A11" s="2"/>
      <c r="B11" s="5" t="s">
        <v>30</v>
      </c>
      <c r="C11" s="5"/>
      <c r="D11" s="5"/>
      <c r="E11" s="5"/>
      <c r="F11" s="5"/>
      <c r="G11" s="5"/>
      <c r="H11" s="5"/>
    </row>
    <row r="12" customFormat="false" ht="15" hidden="false" customHeight="true" outlineLevel="0" collapsed="false">
      <c r="A12" s="2"/>
      <c r="B12" s="13" t="s">
        <v>31</v>
      </c>
      <c r="C12" s="13"/>
      <c r="D12" s="13"/>
      <c r="E12" s="13"/>
      <c r="F12" s="13"/>
      <c r="G12" s="13"/>
      <c r="H12" s="13"/>
    </row>
    <row r="13" customFormat="false" ht="15" hidden="false" customHeight="true" outlineLevel="0" collapsed="false">
      <c r="A13" s="2"/>
      <c r="B13" s="4" t="s">
        <v>32</v>
      </c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.75" hidden="false" customHeight="true" outlineLevel="0" collapsed="false">
      <c r="A15" s="2"/>
      <c r="B15" s="14" t="s">
        <v>33</v>
      </c>
      <c r="C15" s="14"/>
      <c r="D15" s="14"/>
      <c r="E15" s="14"/>
      <c r="F15" s="14"/>
      <c r="G15" s="14"/>
      <c r="H15" s="14"/>
    </row>
    <row r="16" customFormat="false" ht="26.25" hidden="false" customHeight="true" outlineLevel="0" collapsed="false">
      <c r="A16" s="2"/>
      <c r="B16" s="15" t="s">
        <v>34</v>
      </c>
      <c r="C16" s="15" t="s">
        <v>35</v>
      </c>
      <c r="D16" s="15" t="s">
        <v>36</v>
      </c>
      <c r="E16" s="16"/>
      <c r="F16" s="16"/>
      <c r="G16" s="15" t="s">
        <v>8</v>
      </c>
      <c r="H16" s="16"/>
    </row>
    <row r="17" customFormat="false" ht="26.25" hidden="false" customHeight="true" outlineLevel="0" collapsed="false">
      <c r="A17" s="2"/>
      <c r="B17" s="17" t="s">
        <v>37</v>
      </c>
      <c r="C17" s="18" t="s">
        <v>38</v>
      </c>
      <c r="D17" s="17" t="s">
        <v>39</v>
      </c>
      <c r="E17" s="17"/>
      <c r="F17" s="17"/>
      <c r="G17" s="19" t="s">
        <v>40</v>
      </c>
      <c r="H17" s="2"/>
    </row>
    <row r="18" customFormat="false" ht="26.25" hidden="false" customHeight="true" outlineLevel="0" collapsed="false">
      <c r="A18" s="2"/>
      <c r="B18" s="17" t="s">
        <v>41</v>
      </c>
      <c r="C18" s="18" t="s">
        <v>42</v>
      </c>
      <c r="D18" s="17" t="s">
        <v>43</v>
      </c>
      <c r="E18" s="17"/>
      <c r="F18" s="17"/>
      <c r="G18" s="17" t="s">
        <v>44</v>
      </c>
      <c r="H18" s="2"/>
    </row>
    <row r="19" customFormat="false" ht="26.25" hidden="false" customHeight="true" outlineLevel="0" collapsed="false">
      <c r="A19" s="2"/>
      <c r="B19" s="17" t="s">
        <v>45</v>
      </c>
      <c r="C19" s="18" t="s">
        <v>46</v>
      </c>
      <c r="D19" s="17" t="s">
        <v>47</v>
      </c>
      <c r="E19" s="17"/>
      <c r="F19" s="17"/>
      <c r="G19" s="17" t="s">
        <v>48</v>
      </c>
      <c r="H19" s="2"/>
    </row>
    <row r="20" customFormat="false" ht="26.25" hidden="false" customHeight="true" outlineLevel="0" collapsed="false">
      <c r="A20" s="2"/>
      <c r="B20" s="17" t="s">
        <v>49</v>
      </c>
      <c r="C20" s="18" t="s">
        <v>38</v>
      </c>
      <c r="D20" s="19" t="s">
        <v>50</v>
      </c>
      <c r="E20" s="19"/>
      <c r="F20" s="19"/>
      <c r="G20" s="17" t="s">
        <v>51</v>
      </c>
      <c r="H20" s="2"/>
    </row>
    <row r="21" customFormat="false" ht="15" hidden="false" customHeight="true" outlineLevel="0" collapsed="false">
      <c r="A21" s="2"/>
      <c r="B21" s="17" t="s">
        <v>52</v>
      </c>
      <c r="C21" s="18" t="s">
        <v>53</v>
      </c>
      <c r="D21" s="17" t="s">
        <v>54</v>
      </c>
      <c r="E21" s="17"/>
      <c r="F21" s="17"/>
      <c r="G21" s="17" t="s">
        <v>55</v>
      </c>
      <c r="H21" s="2"/>
    </row>
    <row r="22" customFormat="false" ht="15" hidden="false" customHeight="true" outlineLevel="0" collapsed="false">
      <c r="A22" s="2"/>
      <c r="B22" s="17" t="s">
        <v>56</v>
      </c>
      <c r="C22" s="18" t="s">
        <v>57</v>
      </c>
      <c r="D22" s="17" t="s">
        <v>58</v>
      </c>
      <c r="E22" s="17"/>
      <c r="F22" s="17"/>
      <c r="G22" s="17" t="s">
        <v>59</v>
      </c>
      <c r="H22" s="2"/>
    </row>
    <row r="23" customFormat="false" ht="15" hidden="false" customHeight="true" outlineLevel="0" collapsed="false">
      <c r="A23" s="2"/>
      <c r="B23" s="17" t="s">
        <v>60</v>
      </c>
      <c r="C23" s="18" t="s">
        <v>61</v>
      </c>
      <c r="D23" s="17" t="s">
        <v>62</v>
      </c>
      <c r="E23" s="17"/>
      <c r="F23" s="17"/>
      <c r="G23" s="17" t="s">
        <v>63</v>
      </c>
      <c r="H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.75" hidden="false" customHeight="true" outlineLevel="0" collapsed="false">
      <c r="A25" s="2"/>
      <c r="B25" s="5" t="s">
        <v>64</v>
      </c>
      <c r="C25" s="5"/>
      <c r="D25" s="5"/>
      <c r="E25" s="5"/>
      <c r="F25" s="5"/>
      <c r="G25" s="5"/>
      <c r="H25" s="5"/>
    </row>
    <row r="26" customFormat="false" ht="15" hidden="false" customHeight="true" outlineLevel="0" collapsed="false">
      <c r="A26" s="2"/>
      <c r="B26" s="15"/>
      <c r="C26" s="15" t="s">
        <v>65</v>
      </c>
      <c r="D26" s="15" t="s">
        <v>66</v>
      </c>
      <c r="E26" s="15" t="s">
        <v>67</v>
      </c>
      <c r="F26" s="15" t="s">
        <v>68</v>
      </c>
      <c r="G26" s="15" t="s">
        <v>69</v>
      </c>
      <c r="H26" s="15" t="s">
        <v>70</v>
      </c>
    </row>
    <row r="27" customFormat="false" ht="26.25" hidden="false" customHeight="true" outlineLevel="0" collapsed="false">
      <c r="A27" s="2"/>
      <c r="B27" s="20" t="s">
        <v>71</v>
      </c>
      <c r="C27" s="21" t="n">
        <v>128</v>
      </c>
      <c r="D27" s="21" t="n">
        <v>200</v>
      </c>
      <c r="E27" s="21" t="n">
        <v>180</v>
      </c>
      <c r="F27" s="21" t="n">
        <v>100</v>
      </c>
      <c r="G27" s="2"/>
      <c r="H27" s="2"/>
    </row>
    <row r="28" customFormat="false" ht="15" hidden="false" customHeight="true" outlineLevel="0" collapsed="false">
      <c r="A28" s="2"/>
      <c r="B28" s="22" t="s">
        <v>72</v>
      </c>
      <c r="C28" s="22" t="n">
        <f aca="false">C27/255</f>
        <v>0.501960784313726</v>
      </c>
      <c r="D28" s="22" t="n">
        <f aca="false">D27/255</f>
        <v>0.784313725490196</v>
      </c>
      <c r="E28" s="22" t="n">
        <f aca="false">E27/255</f>
        <v>0.705882352941177</v>
      </c>
      <c r="F28" s="22" t="n">
        <f aca="false">F27/255</f>
        <v>0.392156862745098</v>
      </c>
      <c r="G28" s="22"/>
      <c r="H28" s="22"/>
    </row>
    <row r="29" customFormat="false" ht="15" hidden="false" customHeight="true" outlineLevel="0" collapsed="false">
      <c r="A29" s="2"/>
      <c r="B29" s="23" t="s">
        <v>73</v>
      </c>
      <c r="C29" s="23" t="n">
        <f aca="false">C28*0.3</f>
        <v>0.150588235294118</v>
      </c>
      <c r="D29" s="23" t="n">
        <f aca="false">D28*1.5</f>
        <v>1.17647058823529</v>
      </c>
      <c r="E29" s="23" t="n">
        <f aca="false">E28*1.2</f>
        <v>0.847058823529412</v>
      </c>
      <c r="F29" s="23" t="n">
        <f aca="false">F28*0.8</f>
        <v>0.313725490196078</v>
      </c>
      <c r="G29" s="23"/>
      <c r="H29" s="23"/>
    </row>
    <row r="30" customFormat="false" ht="15" hidden="false" customHeight="true" outlineLevel="0" collapsed="false">
      <c r="A30" s="2"/>
      <c r="B30" s="24" t="s">
        <v>74</v>
      </c>
      <c r="C30" s="25" t="n">
        <f aca="false">SUM(C29:F29)</f>
        <v>2.4878431372549</v>
      </c>
      <c r="D30" s="25"/>
      <c r="E30" s="25"/>
      <c r="F30" s="25"/>
      <c r="G30" s="26" t="n">
        <f aca="false">C30</f>
        <v>2.4878431372549</v>
      </c>
      <c r="H30" s="27" t="n">
        <f aca="false">IF(G30&gt;0, (100-0)/G30, "∞")</f>
        <v>40.1954602774275</v>
      </c>
    </row>
    <row r="31" customFormat="false" ht="15" hidden="false" customHeight="true" outlineLevel="0" collapsed="false">
      <c r="A31" s="2"/>
      <c r="B31" s="28" t="s">
        <v>75</v>
      </c>
      <c r="C31" s="28"/>
      <c r="D31" s="28"/>
      <c r="E31" s="28"/>
      <c r="F31" s="28"/>
      <c r="G31" s="28"/>
      <c r="H31" s="28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.75" hidden="false" customHeight="true" outlineLevel="0" collapsed="false">
      <c r="A33" s="2"/>
      <c r="B33" s="29" t="s">
        <v>76</v>
      </c>
      <c r="C33" s="29"/>
      <c r="D33" s="29"/>
      <c r="E33" s="29"/>
      <c r="F33" s="29"/>
      <c r="G33" s="29"/>
      <c r="H33" s="29"/>
    </row>
    <row r="34" customFormat="false" ht="26.25" hidden="false" customHeight="true" outlineLevel="0" collapsed="false">
      <c r="A34" s="2"/>
      <c r="B34" s="15" t="s">
        <v>34</v>
      </c>
      <c r="C34" s="15" t="s">
        <v>35</v>
      </c>
      <c r="D34" s="15" t="s">
        <v>36</v>
      </c>
      <c r="E34" s="2"/>
      <c r="F34" s="2"/>
      <c r="G34" s="15" t="s">
        <v>8</v>
      </c>
      <c r="H34" s="2"/>
    </row>
    <row r="35" customFormat="false" ht="26.25" hidden="false" customHeight="true" outlineLevel="0" collapsed="false">
      <c r="A35" s="2"/>
      <c r="B35" s="30" t="s">
        <v>77</v>
      </c>
      <c r="C35" s="31" t="s">
        <v>78</v>
      </c>
      <c r="D35" s="32" t="s">
        <v>79</v>
      </c>
      <c r="E35" s="32"/>
      <c r="F35" s="32"/>
      <c r="G35" s="32" t="s">
        <v>80</v>
      </c>
      <c r="H35" s="2"/>
    </row>
    <row r="36" customFormat="false" ht="26.25" hidden="false" customHeight="true" outlineLevel="0" collapsed="false">
      <c r="A36" s="2"/>
      <c r="B36" s="30" t="s">
        <v>81</v>
      </c>
      <c r="C36" s="31" t="s">
        <v>82</v>
      </c>
      <c r="D36" s="32" t="s">
        <v>83</v>
      </c>
      <c r="E36" s="32"/>
      <c r="F36" s="32"/>
      <c r="G36" s="32" t="s">
        <v>84</v>
      </c>
      <c r="H36" s="2"/>
    </row>
    <row r="37" customFormat="false" ht="26.25" hidden="false" customHeight="true" outlineLevel="0" collapsed="false">
      <c r="A37" s="2"/>
      <c r="B37" s="30" t="s">
        <v>85</v>
      </c>
      <c r="C37" s="31" t="s">
        <v>86</v>
      </c>
      <c r="D37" s="32" t="s">
        <v>87</v>
      </c>
      <c r="E37" s="32"/>
      <c r="F37" s="32"/>
      <c r="G37" s="32" t="s">
        <v>88</v>
      </c>
      <c r="H37" s="2"/>
    </row>
    <row r="38" customFormat="false" ht="26.25" hidden="false" customHeight="true" outlineLevel="0" collapsed="false">
      <c r="A38" s="2"/>
      <c r="B38" s="30" t="s">
        <v>89</v>
      </c>
      <c r="C38" s="31" t="s">
        <v>90</v>
      </c>
      <c r="D38" s="32" t="s">
        <v>91</v>
      </c>
      <c r="E38" s="32"/>
      <c r="F38" s="32"/>
      <c r="G38" s="32" t="s">
        <v>92</v>
      </c>
      <c r="H38" s="2"/>
    </row>
    <row r="39" customFormat="false" ht="26.25" hidden="false" customHeight="true" outlineLevel="0" collapsed="false">
      <c r="A39" s="2"/>
      <c r="B39" s="30" t="s">
        <v>93</v>
      </c>
      <c r="C39" s="31" t="s">
        <v>94</v>
      </c>
      <c r="D39" s="32" t="s">
        <v>95</v>
      </c>
      <c r="E39" s="32"/>
      <c r="F39" s="32"/>
      <c r="G39" s="32" t="s">
        <v>96</v>
      </c>
      <c r="H39" s="2"/>
    </row>
    <row r="40" customFormat="false" ht="26.25" hidden="false" customHeight="true" outlineLevel="0" collapsed="false">
      <c r="A40" s="2"/>
      <c r="B40" s="30" t="s">
        <v>97</v>
      </c>
      <c r="C40" s="31" t="s">
        <v>98</v>
      </c>
      <c r="D40" s="32" t="s">
        <v>99</v>
      </c>
      <c r="E40" s="32"/>
      <c r="F40" s="32"/>
      <c r="G40" s="32" t="s">
        <v>100</v>
      </c>
      <c r="H40" s="2"/>
    </row>
    <row r="41" customFormat="false" ht="26.25" hidden="false" customHeight="true" outlineLevel="0" collapsed="false">
      <c r="A41" s="2"/>
      <c r="B41" s="30" t="s">
        <v>101</v>
      </c>
      <c r="C41" s="31" t="s">
        <v>102</v>
      </c>
      <c r="D41" s="32" t="s">
        <v>103</v>
      </c>
      <c r="E41" s="32"/>
      <c r="F41" s="32"/>
      <c r="G41" s="32" t="s">
        <v>104</v>
      </c>
      <c r="H41" s="2"/>
    </row>
    <row r="42" customFormat="false" ht="26.25" hidden="false" customHeight="true" outlineLevel="0" collapsed="false">
      <c r="A42" s="2"/>
      <c r="B42" s="30" t="s">
        <v>105</v>
      </c>
      <c r="C42" s="31" t="s">
        <v>42</v>
      </c>
      <c r="D42" s="32" t="s">
        <v>106</v>
      </c>
      <c r="E42" s="32"/>
      <c r="F42" s="32"/>
      <c r="G42" s="32" t="s">
        <v>107</v>
      </c>
      <c r="H42" s="2"/>
    </row>
    <row r="43" customFormat="false" ht="26.25" hidden="false" customHeight="true" outlineLevel="0" collapsed="false">
      <c r="A43" s="2"/>
      <c r="B43" s="30" t="s">
        <v>108</v>
      </c>
      <c r="C43" s="31" t="s">
        <v>42</v>
      </c>
      <c r="D43" s="32" t="s">
        <v>109</v>
      </c>
      <c r="E43" s="32"/>
      <c r="F43" s="32"/>
      <c r="G43" s="32" t="s">
        <v>110</v>
      </c>
      <c r="H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</row>
    <row r="45" customFormat="false" ht="15.75" hidden="false" customHeight="true" outlineLevel="0" collapsed="false">
      <c r="A45" s="2"/>
      <c r="B45" s="5" t="s">
        <v>111</v>
      </c>
      <c r="C45" s="5"/>
      <c r="D45" s="5"/>
      <c r="E45" s="5"/>
      <c r="F45" s="5"/>
      <c r="G45" s="5"/>
      <c r="H45" s="5"/>
    </row>
    <row r="46" customFormat="false" ht="15" hidden="false" customHeight="true" outlineLevel="0" collapsed="false">
      <c r="A46" s="2"/>
      <c r="B46" s="24" t="s">
        <v>112</v>
      </c>
      <c r="C46" s="33" t="s">
        <v>113</v>
      </c>
      <c r="D46" s="33"/>
      <c r="E46" s="33"/>
      <c r="F46" s="34" t="s">
        <v>114</v>
      </c>
      <c r="G46" s="34"/>
      <c r="H46" s="34"/>
    </row>
    <row r="47" customFormat="false" ht="15" hidden="false" customHeight="true" outlineLevel="0" collapsed="false">
      <c r="A47" s="2"/>
      <c r="B47" s="35" t="s">
        <v>115</v>
      </c>
      <c r="C47" s="36" t="s">
        <v>116</v>
      </c>
      <c r="D47" s="36"/>
      <c r="E47" s="36"/>
      <c r="F47" s="28" t="s">
        <v>117</v>
      </c>
      <c r="G47" s="28"/>
      <c r="H47" s="28"/>
    </row>
    <row r="48" customFormat="false" ht="15" hidden="false" customHeight="true" outlineLevel="0" collapsed="false">
      <c r="A48" s="2"/>
      <c r="B48" s="24" t="s">
        <v>118</v>
      </c>
      <c r="C48" s="33" t="s">
        <v>119</v>
      </c>
      <c r="D48" s="33"/>
      <c r="E48" s="33"/>
      <c r="F48" s="34" t="s">
        <v>120</v>
      </c>
      <c r="G48" s="34"/>
      <c r="H48" s="34"/>
    </row>
    <row r="49" customFormat="false" ht="15" hidden="false" customHeight="true" outlineLevel="0" collapsed="false">
      <c r="A49" s="2"/>
      <c r="B49" s="35" t="s">
        <v>121</v>
      </c>
      <c r="C49" s="36" t="s">
        <v>122</v>
      </c>
      <c r="D49" s="36"/>
      <c r="E49" s="36"/>
      <c r="F49" s="28" t="s">
        <v>123</v>
      </c>
      <c r="G49" s="28"/>
      <c r="H49" s="28"/>
    </row>
    <row r="50" customFormat="false" ht="15" hidden="false" customHeight="true" outlineLevel="0" collapsed="false">
      <c r="A50" s="2"/>
      <c r="B50" s="24" t="s">
        <v>124</v>
      </c>
      <c r="C50" s="33" t="s">
        <v>125</v>
      </c>
      <c r="D50" s="33"/>
      <c r="E50" s="33"/>
      <c r="F50" s="34" t="s">
        <v>126</v>
      </c>
      <c r="G50" s="34"/>
      <c r="H50" s="34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</row>
  </sheetData>
  <mergeCells count="38">
    <mergeCell ref="B1:H1"/>
    <mergeCell ref="B2:H2"/>
    <mergeCell ref="B4:H4"/>
    <mergeCell ref="B11:H11"/>
    <mergeCell ref="B12:H12"/>
    <mergeCell ref="B13:H13"/>
    <mergeCell ref="B15:H15"/>
    <mergeCell ref="D17:F17"/>
    <mergeCell ref="D18:F18"/>
    <mergeCell ref="D19:F19"/>
    <mergeCell ref="D20:F20"/>
    <mergeCell ref="D21:F21"/>
    <mergeCell ref="D22:F22"/>
    <mergeCell ref="D23:F23"/>
    <mergeCell ref="B25:H25"/>
    <mergeCell ref="C30:F30"/>
    <mergeCell ref="B31:H31"/>
    <mergeCell ref="B33:H33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B45:H45"/>
    <mergeCell ref="C46:E46"/>
    <mergeCell ref="F46:H46"/>
    <mergeCell ref="C47:E47"/>
    <mergeCell ref="F47:H47"/>
    <mergeCell ref="C48:E48"/>
    <mergeCell ref="F48:H48"/>
    <mergeCell ref="C49:E49"/>
    <mergeCell ref="F49:H49"/>
    <mergeCell ref="C50:E50"/>
    <mergeCell ref="F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6" min="3" style="1" width="10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30"/>
  </cols>
  <sheetData>
    <row r="1" customFormat="false" ht="19.5" hidden="false" customHeight="true" outlineLevel="0" collapsed="false">
      <c r="A1" s="37"/>
      <c r="B1" s="3" t="s">
        <v>127</v>
      </c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37"/>
      <c r="B2" s="37"/>
      <c r="C2" s="37"/>
      <c r="D2" s="37"/>
      <c r="E2" s="37"/>
      <c r="F2" s="37"/>
      <c r="G2" s="37"/>
      <c r="H2" s="37"/>
      <c r="I2" s="37"/>
    </row>
    <row r="3" customFormat="false" ht="15" hidden="false" customHeight="true" outlineLevel="0" collapsed="false">
      <c r="A3" s="37"/>
      <c r="B3" s="15" t="s">
        <v>128</v>
      </c>
      <c r="C3" s="15" t="s">
        <v>129</v>
      </c>
      <c r="D3" s="15" t="s">
        <v>130</v>
      </c>
      <c r="E3" s="15" t="s">
        <v>131</v>
      </c>
      <c r="F3" s="15" t="s">
        <v>132</v>
      </c>
      <c r="G3" s="15" t="s">
        <v>133</v>
      </c>
      <c r="H3" s="15" t="s">
        <v>69</v>
      </c>
      <c r="I3" s="15" t="s">
        <v>134</v>
      </c>
    </row>
    <row r="4" customFormat="false" ht="15" hidden="false" customHeight="true" outlineLevel="0" collapsed="false">
      <c r="A4" s="37"/>
      <c r="B4" s="38" t="s">
        <v>135</v>
      </c>
      <c r="C4" s="39" t="n">
        <v>0</v>
      </c>
      <c r="D4" s="39" t="n">
        <v>10</v>
      </c>
      <c r="E4" s="39" t="n">
        <v>255</v>
      </c>
      <c r="F4" s="39" t="n">
        <v>255</v>
      </c>
      <c r="G4" s="40" t="str">
        <f aca="false">"#"&amp;DEC2HEX(C4,2)&amp;DEC2HEX(D4,2)&amp;DEC2HEX(E4,2)&amp;DEC2HEX(F4,2)</f>
        <v>#000AFFFF</v>
      </c>
      <c r="H4" s="41" t="n">
        <f aca="false">(C4/255)*0.3 + (D4/255)*1.5 + (E4/255)*1.2 + (F4/255)*0.8</f>
        <v>2.05882352941176</v>
      </c>
      <c r="I4" s="42" t="s">
        <v>136</v>
      </c>
    </row>
    <row r="5" customFormat="false" ht="15" hidden="false" customHeight="true" outlineLevel="0" collapsed="false">
      <c r="A5" s="37"/>
      <c r="B5" s="43" t="s">
        <v>137</v>
      </c>
      <c r="C5" s="44" t="n">
        <v>230</v>
      </c>
      <c r="D5" s="44" t="n">
        <v>40</v>
      </c>
      <c r="E5" s="44" t="n">
        <v>180</v>
      </c>
      <c r="F5" s="44" t="n">
        <v>80</v>
      </c>
      <c r="G5" s="45" t="str">
        <f aca="false">"#"&amp;DEC2HEX(C5,2)&amp;DEC2HEX(D5,2)&amp;DEC2HEX(E5,2)&amp;DEC2HEX(F5,2)</f>
        <v>#E628B450</v>
      </c>
      <c r="H5" s="46" t="n">
        <f aca="false">(C5/255)*0.3 + (D5/255)*1.5 + (E5/255)*1.2 + (F5/255)*0.8</f>
        <v>1.60392156862745</v>
      </c>
      <c r="I5" s="47" t="s">
        <v>138</v>
      </c>
    </row>
    <row r="6" customFormat="false" ht="15" hidden="false" customHeight="true" outlineLevel="0" collapsed="false">
      <c r="A6" s="37"/>
      <c r="B6" s="38" t="s">
        <v>139</v>
      </c>
      <c r="C6" s="39" t="n">
        <v>30</v>
      </c>
      <c r="D6" s="39" t="n">
        <v>255</v>
      </c>
      <c r="E6" s="39" t="n">
        <v>40</v>
      </c>
      <c r="F6" s="39" t="n">
        <v>200</v>
      </c>
      <c r="G6" s="40" t="str">
        <f aca="false">"#"&amp;DEC2HEX(C6,2)&amp;DEC2HEX(D6,2)&amp;DEC2HEX(E6,2)&amp;DEC2HEX(F6,2)</f>
        <v>#1EFF28C8</v>
      </c>
      <c r="H6" s="41" t="n">
        <f aca="false">(C6/255)*0.3 + (D6/255)*1.5 + (E6/255)*1.2 + (F6/255)*0.8</f>
        <v>2.35098039215686</v>
      </c>
      <c r="I6" s="42" t="s">
        <v>140</v>
      </c>
    </row>
    <row r="7" customFormat="false" ht="15" hidden="false" customHeight="true" outlineLevel="0" collapsed="false">
      <c r="A7" s="37"/>
      <c r="B7" s="43" t="s">
        <v>141</v>
      </c>
      <c r="C7" s="44" t="n">
        <v>180</v>
      </c>
      <c r="D7" s="44" t="n">
        <v>200</v>
      </c>
      <c r="E7" s="44" t="n">
        <v>60</v>
      </c>
      <c r="F7" s="44" t="n">
        <v>20</v>
      </c>
      <c r="G7" s="45" t="str">
        <f aca="false">"#"&amp;DEC2HEX(C7,2)&amp;DEC2HEX(D7,2)&amp;DEC2HEX(E7,2)&amp;DEC2HEX(F7,2)</f>
        <v>#B4C83C14</v>
      </c>
      <c r="H7" s="46" t="n">
        <f aca="false">(C7/255)*0.3 + (D7/255)*1.5 + (E7/255)*1.2 + (F7/255)*0.8</f>
        <v>1.73333333333333</v>
      </c>
      <c r="I7" s="47" t="s">
        <v>142</v>
      </c>
    </row>
    <row r="8" customFormat="false" ht="15" hidden="false" customHeight="true" outlineLevel="0" collapsed="false">
      <c r="A8" s="37"/>
      <c r="B8" s="38" t="s">
        <v>143</v>
      </c>
      <c r="C8" s="39" t="n">
        <v>255</v>
      </c>
      <c r="D8" s="39" t="n">
        <v>80</v>
      </c>
      <c r="E8" s="39" t="n">
        <v>255</v>
      </c>
      <c r="F8" s="39" t="n">
        <v>40</v>
      </c>
      <c r="G8" s="40" t="str">
        <f aca="false">"#"&amp;DEC2HEX(C8,2)&amp;DEC2HEX(D8,2)&amp;DEC2HEX(E8,2)&amp;DEC2HEX(F8,2)</f>
        <v>#FF50FF28</v>
      </c>
      <c r="H8" s="41" t="n">
        <f aca="false">(C8/255)*0.3 + (D8/255)*1.5 + (E8/255)*1.2 + (F8/255)*0.8</f>
        <v>2.09607843137255</v>
      </c>
      <c r="I8" s="42" t="s">
        <v>144</v>
      </c>
    </row>
    <row r="9" customFormat="false" ht="15" hidden="false" customHeight="true" outlineLevel="0" collapsed="false">
      <c r="A9" s="37"/>
      <c r="B9" s="43" t="s">
        <v>145</v>
      </c>
      <c r="C9" s="44" t="n">
        <v>80</v>
      </c>
      <c r="D9" s="44" t="n">
        <v>128</v>
      </c>
      <c r="E9" s="44" t="n">
        <v>128</v>
      </c>
      <c r="F9" s="44" t="n">
        <v>128</v>
      </c>
      <c r="G9" s="45" t="str">
        <f aca="false">"#"&amp;DEC2HEX(C9,2)&amp;DEC2HEX(D9,2)&amp;DEC2HEX(E9,2)&amp;DEC2HEX(F9,2)</f>
        <v>#50808080</v>
      </c>
      <c r="H9" s="46" t="n">
        <f aca="false">(C9/255)*0.3 + (D9/255)*1.5 + (E9/255)*1.2 + (F9/255)*0.8</f>
        <v>1.85098039215686</v>
      </c>
      <c r="I9" s="47" t="s">
        <v>146</v>
      </c>
    </row>
    <row r="10" customFormat="false" ht="15" hidden="false" customHeight="true" outlineLevel="0" collapsed="false">
      <c r="A10" s="37"/>
      <c r="B10" s="38" t="s">
        <v>147</v>
      </c>
      <c r="C10" s="39" t="n">
        <v>10</v>
      </c>
      <c r="D10" s="39" t="n">
        <v>50</v>
      </c>
      <c r="E10" s="39" t="n">
        <v>255</v>
      </c>
      <c r="F10" s="39" t="n">
        <v>255</v>
      </c>
      <c r="G10" s="40" t="str">
        <f aca="false">"#"&amp;DEC2HEX(C10,2)&amp;DEC2HEX(D10,2)&amp;DEC2HEX(E10,2)&amp;DEC2HEX(F10,2)</f>
        <v>#0A32FFFF</v>
      </c>
      <c r="H10" s="41" t="n">
        <f aca="false">(C10/255)*0.3 + (D10/255)*1.5 + (E10/255)*1.2 + (F10/255)*0.8</f>
        <v>2.30588235294118</v>
      </c>
      <c r="I10" s="42" t="s">
        <v>148</v>
      </c>
    </row>
    <row r="11" customFormat="false" ht="15" hidden="false" customHeight="true" outlineLevel="0" collapsed="false">
      <c r="A11" s="37"/>
      <c r="B11" s="43" t="s">
        <v>149</v>
      </c>
      <c r="C11" s="44" t="n">
        <v>120</v>
      </c>
      <c r="D11" s="44" t="n">
        <v>180</v>
      </c>
      <c r="E11" s="44" t="n">
        <v>20</v>
      </c>
      <c r="F11" s="44" t="n">
        <v>150</v>
      </c>
      <c r="G11" s="45" t="str">
        <f aca="false">"#"&amp;DEC2HEX(C11,2)&amp;DEC2HEX(D11,2)&amp;DEC2HEX(E11,2)&amp;DEC2HEX(F11,2)</f>
        <v>#78B41496</v>
      </c>
      <c r="H11" s="46" t="n">
        <f aca="false">(C11/255)*0.3 + (D11/255)*1.5 + (E11/255)*1.2 + (F11/255)*0.8</f>
        <v>1.76470588235294</v>
      </c>
      <c r="I11" s="47" t="s">
        <v>150</v>
      </c>
    </row>
    <row r="12" customFormat="false" ht="15" hidden="false" customHeight="true" outlineLevel="0" collapsed="false">
      <c r="A12" s="37"/>
      <c r="B12" s="37"/>
      <c r="C12" s="37"/>
      <c r="D12" s="37"/>
      <c r="E12" s="37"/>
      <c r="F12" s="37"/>
      <c r="G12" s="37"/>
      <c r="H12" s="37"/>
      <c r="I12" s="37"/>
    </row>
    <row r="13" customFormat="false" ht="15" hidden="false" customHeight="true" outlineLevel="0" collapsed="false">
      <c r="A13" s="37"/>
      <c r="B13" s="48" t="s">
        <v>151</v>
      </c>
      <c r="C13" s="48"/>
      <c r="D13" s="48"/>
      <c r="E13" s="48"/>
      <c r="F13" s="48"/>
      <c r="G13" s="48"/>
      <c r="H13" s="48"/>
      <c r="I13" s="48"/>
    </row>
    <row r="14" customFormat="false" ht="15" hidden="false" customHeight="true" outlineLevel="0" collapsed="false">
      <c r="A14" s="37"/>
      <c r="B14" s="37"/>
      <c r="C14" s="37"/>
      <c r="D14" s="37"/>
      <c r="E14" s="37"/>
      <c r="F14" s="37"/>
      <c r="G14" s="37"/>
      <c r="H14" s="37"/>
      <c r="I14" s="37"/>
    </row>
    <row r="15" customFormat="false" ht="15" hidden="false" customHeight="true" outlineLevel="0" collapsed="false">
      <c r="A15" s="37"/>
      <c r="B15" s="37"/>
      <c r="C15" s="37"/>
      <c r="D15" s="37"/>
      <c r="E15" s="37"/>
      <c r="F15" s="37"/>
      <c r="G15" s="37"/>
      <c r="H15" s="37"/>
      <c r="I15" s="37"/>
    </row>
    <row r="16" customFormat="false" ht="15" hidden="false" customHeight="true" outlineLevel="0" collapsed="false">
      <c r="A16" s="37"/>
      <c r="B16" s="37"/>
      <c r="C16" s="37"/>
      <c r="D16" s="37"/>
      <c r="E16" s="37"/>
      <c r="F16" s="37"/>
      <c r="G16" s="37"/>
      <c r="H16" s="37"/>
      <c r="I16" s="37"/>
    </row>
    <row r="17" customFormat="false" ht="15" hidden="false" customHeight="true" outlineLevel="0" collapsed="false">
      <c r="A17" s="37"/>
      <c r="B17" s="37"/>
      <c r="C17" s="37"/>
      <c r="D17" s="37"/>
      <c r="E17" s="37"/>
      <c r="F17" s="37"/>
      <c r="G17" s="37"/>
      <c r="H17" s="37"/>
      <c r="I17" s="37"/>
    </row>
    <row r="18" customFormat="false" ht="15" hidden="false" customHeight="true" outlineLevel="0" collapsed="false">
      <c r="A18" s="37"/>
      <c r="B18" s="37"/>
      <c r="C18" s="37"/>
      <c r="D18" s="37"/>
      <c r="E18" s="37"/>
      <c r="F18" s="37"/>
      <c r="G18" s="37"/>
      <c r="H18" s="37"/>
      <c r="I18" s="37"/>
    </row>
    <row r="19" customFormat="false" ht="15" hidden="false" customHeight="true" outlineLevel="0" collapsed="false">
      <c r="A19" s="37"/>
      <c r="B19" s="37"/>
      <c r="C19" s="37"/>
      <c r="D19" s="37"/>
      <c r="E19" s="37"/>
      <c r="F19" s="37"/>
      <c r="G19" s="37"/>
      <c r="H19" s="37"/>
      <c r="I19" s="37"/>
    </row>
    <row r="20" customFormat="false" ht="15" hidden="false" customHeight="true" outlineLevel="0" collapsed="false">
      <c r="A20" s="37"/>
      <c r="B20" s="37"/>
      <c r="C20" s="37"/>
      <c r="D20" s="37"/>
      <c r="E20" s="37"/>
      <c r="F20" s="37"/>
      <c r="G20" s="37"/>
      <c r="H20" s="37"/>
      <c r="I20" s="37"/>
    </row>
    <row r="21" customFormat="false" ht="15" hidden="false" customHeight="true" outlineLevel="0" collapsed="false">
      <c r="A21" s="37"/>
      <c r="B21" s="37"/>
      <c r="C21" s="37"/>
      <c r="D21" s="37"/>
      <c r="E21" s="37"/>
      <c r="F21" s="37"/>
      <c r="G21" s="37"/>
      <c r="H21" s="37"/>
      <c r="I21" s="37"/>
    </row>
    <row r="22" customFormat="false" ht="15" hidden="false" customHeight="true" outlineLevel="0" collapsed="false">
      <c r="A22" s="37"/>
      <c r="B22" s="37"/>
      <c r="C22" s="37"/>
      <c r="D22" s="37"/>
      <c r="E22" s="37"/>
      <c r="F22" s="37"/>
      <c r="G22" s="37"/>
      <c r="H22" s="37"/>
      <c r="I22" s="37"/>
    </row>
    <row r="23" customFormat="false" ht="15" hidden="false" customHeight="true" outlineLevel="0" collapsed="false">
      <c r="A23" s="37"/>
      <c r="B23" s="37"/>
      <c r="C23" s="37"/>
      <c r="D23" s="37"/>
      <c r="E23" s="37"/>
      <c r="F23" s="37"/>
      <c r="G23" s="37"/>
      <c r="H23" s="37"/>
      <c r="I23" s="37"/>
    </row>
    <row r="24" customFormat="false" ht="15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37"/>
    </row>
    <row r="25" customFormat="false" ht="15" hidden="false" customHeight="true" outlineLevel="0" collapsed="false">
      <c r="A25" s="37"/>
      <c r="B25" s="37"/>
      <c r="C25" s="37"/>
      <c r="D25" s="37"/>
      <c r="E25" s="37"/>
      <c r="F25" s="37"/>
      <c r="G25" s="37"/>
      <c r="H25" s="37"/>
      <c r="I25" s="37"/>
    </row>
    <row r="26" customFormat="false" ht="15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</row>
    <row r="27" customFormat="false" ht="15" hidden="false" customHeight="true" outlineLevel="0" collapsed="false">
      <c r="A27" s="37"/>
      <c r="B27" s="37"/>
      <c r="C27" s="37"/>
      <c r="D27" s="37"/>
      <c r="E27" s="37"/>
      <c r="F27" s="37"/>
      <c r="G27" s="37"/>
      <c r="H27" s="37"/>
      <c r="I27" s="37"/>
    </row>
    <row r="28" customFormat="false" ht="15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</row>
    <row r="29" customFormat="false" ht="15" hidden="false" customHeight="true" outlineLevel="0" collapsed="false">
      <c r="A29" s="37"/>
      <c r="B29" s="37"/>
      <c r="C29" s="37"/>
      <c r="D29" s="37"/>
      <c r="E29" s="37"/>
      <c r="F29" s="37"/>
      <c r="G29" s="37"/>
      <c r="H29" s="37"/>
      <c r="I29" s="37"/>
    </row>
  </sheetData>
  <mergeCells count="2">
    <mergeCell ref="B1:I1"/>
    <mergeCell ref="B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32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30"/>
  </cols>
  <sheetData>
    <row r="1" customFormat="false" ht="19.5" hidden="false" customHeight="true" outlineLevel="0" collapsed="false">
      <c r="A1" s="37"/>
      <c r="B1" s="3" t="s">
        <v>152</v>
      </c>
      <c r="C1" s="3"/>
      <c r="D1" s="3"/>
      <c r="E1" s="3"/>
      <c r="F1" s="3"/>
      <c r="G1" s="3"/>
    </row>
    <row r="2" customFormat="false" ht="15" hidden="false" customHeight="true" outlineLevel="0" collapsed="false">
      <c r="A2" s="37"/>
      <c r="B2" s="37"/>
      <c r="C2" s="37"/>
      <c r="D2" s="37"/>
      <c r="E2" s="37"/>
      <c r="F2" s="37"/>
      <c r="G2" s="37"/>
    </row>
    <row r="3" customFormat="false" ht="15.75" hidden="false" customHeight="true" outlineLevel="0" collapsed="false">
      <c r="A3" s="37"/>
      <c r="B3" s="49" t="s">
        <v>153</v>
      </c>
      <c r="C3" s="49"/>
      <c r="D3" s="49"/>
      <c r="E3" s="37"/>
      <c r="F3" s="37"/>
      <c r="G3" s="37"/>
    </row>
    <row r="4" customFormat="false" ht="15" hidden="false" customHeight="true" outlineLevel="0" collapsed="false">
      <c r="A4" s="37"/>
      <c r="B4" s="15" t="s">
        <v>154</v>
      </c>
      <c r="C4" s="15" t="s">
        <v>155</v>
      </c>
      <c r="D4" s="15" t="s">
        <v>156</v>
      </c>
      <c r="E4" s="37"/>
      <c r="F4" s="37"/>
      <c r="G4" s="37"/>
    </row>
    <row r="5" customFormat="false" ht="15" hidden="false" customHeight="true" outlineLevel="0" collapsed="false">
      <c r="A5" s="37"/>
      <c r="B5" s="50" t="s">
        <v>157</v>
      </c>
      <c r="C5" s="51" t="s">
        <v>158</v>
      </c>
      <c r="D5" s="52" t="s">
        <v>159</v>
      </c>
      <c r="E5" s="37"/>
      <c r="F5" s="37"/>
      <c r="G5" s="37"/>
    </row>
    <row r="6" customFormat="false" ht="15" hidden="false" customHeight="true" outlineLevel="0" collapsed="false">
      <c r="A6" s="37"/>
      <c r="B6" s="53" t="s">
        <v>160</v>
      </c>
      <c r="C6" s="54" t="s">
        <v>161</v>
      </c>
      <c r="D6" s="55" t="s">
        <v>162</v>
      </c>
      <c r="E6" s="37"/>
      <c r="F6" s="37"/>
      <c r="G6" s="37"/>
    </row>
    <row r="7" customFormat="false" ht="15" hidden="false" customHeight="true" outlineLevel="0" collapsed="false">
      <c r="A7" s="37"/>
      <c r="B7" s="50" t="s">
        <v>163</v>
      </c>
      <c r="C7" s="51" t="s">
        <v>164</v>
      </c>
      <c r="D7" s="52" t="s">
        <v>165</v>
      </c>
      <c r="E7" s="37"/>
      <c r="F7" s="37"/>
      <c r="G7" s="37"/>
    </row>
    <row r="8" customFormat="false" ht="15" hidden="false" customHeight="true" outlineLevel="0" collapsed="false">
      <c r="A8" s="37"/>
      <c r="B8" s="53" t="s">
        <v>166</v>
      </c>
      <c r="C8" s="54" t="s">
        <v>167</v>
      </c>
      <c r="D8" s="55" t="s">
        <v>168</v>
      </c>
      <c r="E8" s="37"/>
      <c r="F8" s="37"/>
      <c r="G8" s="37"/>
    </row>
    <row r="9" customFormat="false" ht="15" hidden="false" customHeight="true" outlineLevel="0" collapsed="false">
      <c r="A9" s="37"/>
      <c r="B9" s="50" t="s">
        <v>169</v>
      </c>
      <c r="C9" s="51" t="s">
        <v>170</v>
      </c>
      <c r="D9" s="52" t="s">
        <v>171</v>
      </c>
      <c r="E9" s="37"/>
      <c r="F9" s="37"/>
      <c r="G9" s="37"/>
    </row>
    <row r="10" customFormat="false" ht="15" hidden="false" customHeight="true" outlineLevel="0" collapsed="false">
      <c r="A10" s="37"/>
      <c r="B10" s="53" t="s">
        <v>172</v>
      </c>
      <c r="C10" s="54" t="s">
        <v>173</v>
      </c>
      <c r="D10" s="55" t="s">
        <v>174</v>
      </c>
      <c r="E10" s="37"/>
      <c r="F10" s="37"/>
      <c r="G10" s="37"/>
    </row>
    <row r="11" customFormat="false" ht="15" hidden="false" customHeight="true" outlineLevel="0" collapsed="false">
      <c r="A11" s="37"/>
      <c r="B11" s="50" t="s">
        <v>175</v>
      </c>
      <c r="C11" s="51" t="s">
        <v>176</v>
      </c>
      <c r="D11" s="52" t="s">
        <v>177</v>
      </c>
      <c r="E11" s="37"/>
      <c r="F11" s="37"/>
      <c r="G11" s="37"/>
    </row>
    <row r="12" customFormat="false" ht="15" hidden="false" customHeight="true" outlineLevel="0" collapsed="false">
      <c r="A12" s="37"/>
      <c r="B12" s="53" t="s">
        <v>178</v>
      </c>
      <c r="C12" s="54" t="s">
        <v>179</v>
      </c>
      <c r="D12" s="55" t="s">
        <v>180</v>
      </c>
      <c r="E12" s="37"/>
      <c r="F12" s="37"/>
      <c r="G12" s="37"/>
    </row>
    <row r="13" customFormat="false" ht="15" hidden="false" customHeight="true" outlineLevel="0" collapsed="false">
      <c r="A13" s="37"/>
      <c r="B13" s="50" t="s">
        <v>181</v>
      </c>
      <c r="C13" s="51" t="s">
        <v>182</v>
      </c>
      <c r="D13" s="52" t="s">
        <v>183</v>
      </c>
      <c r="E13" s="37"/>
      <c r="F13" s="37"/>
      <c r="G13" s="37"/>
    </row>
    <row r="14" customFormat="false" ht="15" hidden="false" customHeight="true" outlineLevel="0" collapsed="false">
      <c r="A14" s="37"/>
      <c r="B14" s="37"/>
      <c r="C14" s="37"/>
      <c r="D14" s="37"/>
      <c r="E14" s="37"/>
      <c r="F14" s="37"/>
      <c r="G14" s="37"/>
    </row>
    <row r="15" customFormat="false" ht="15.75" hidden="false" customHeight="true" outlineLevel="0" collapsed="false">
      <c r="A15" s="37"/>
      <c r="B15" s="49" t="s">
        <v>184</v>
      </c>
      <c r="C15" s="49"/>
      <c r="D15" s="49"/>
      <c r="E15" s="37"/>
      <c r="F15" s="37"/>
      <c r="G15" s="37"/>
    </row>
    <row r="16" customFormat="false" ht="15" hidden="false" customHeight="true" outlineLevel="0" collapsed="false">
      <c r="A16" s="37"/>
      <c r="B16" s="15" t="s">
        <v>155</v>
      </c>
      <c r="C16" s="15" t="s">
        <v>154</v>
      </c>
      <c r="D16" s="15" t="s">
        <v>156</v>
      </c>
      <c r="E16" s="37"/>
      <c r="F16" s="37"/>
      <c r="G16" s="37"/>
    </row>
    <row r="17" customFormat="false" ht="15" hidden="false" customHeight="true" outlineLevel="0" collapsed="false">
      <c r="A17" s="37"/>
      <c r="B17" s="56" t="s">
        <v>185</v>
      </c>
      <c r="C17" s="50" t="s">
        <v>186</v>
      </c>
      <c r="D17" s="52" t="s">
        <v>187</v>
      </c>
      <c r="E17" s="37"/>
      <c r="F17" s="37"/>
      <c r="G17" s="37"/>
    </row>
    <row r="18" customFormat="false" ht="15" hidden="false" customHeight="true" outlineLevel="0" collapsed="false">
      <c r="A18" s="37"/>
      <c r="B18" s="57" t="s">
        <v>188</v>
      </c>
      <c r="C18" s="53" t="s">
        <v>175</v>
      </c>
      <c r="D18" s="55" t="s">
        <v>189</v>
      </c>
      <c r="E18" s="37"/>
      <c r="F18" s="37"/>
      <c r="G18" s="37"/>
    </row>
    <row r="19" customFormat="false" ht="15" hidden="false" customHeight="true" outlineLevel="0" collapsed="false">
      <c r="A19" s="37"/>
      <c r="B19" s="56" t="s">
        <v>190</v>
      </c>
      <c r="C19" s="50" t="s">
        <v>178</v>
      </c>
      <c r="D19" s="52" t="s">
        <v>191</v>
      </c>
      <c r="E19" s="37"/>
      <c r="F19" s="37"/>
      <c r="G19" s="37"/>
    </row>
    <row r="20" customFormat="false" ht="15" hidden="false" customHeight="true" outlineLevel="0" collapsed="false">
      <c r="A20" s="37"/>
      <c r="B20" s="57" t="s">
        <v>192</v>
      </c>
      <c r="C20" s="53" t="s">
        <v>193</v>
      </c>
      <c r="D20" s="55" t="s">
        <v>194</v>
      </c>
      <c r="E20" s="37"/>
      <c r="F20" s="37"/>
      <c r="G20" s="37"/>
    </row>
    <row r="21" customFormat="false" ht="15" hidden="false" customHeight="true" outlineLevel="0" collapsed="false">
      <c r="A21" s="37"/>
      <c r="B21" s="56" t="s">
        <v>195</v>
      </c>
      <c r="C21" s="50" t="s">
        <v>196</v>
      </c>
      <c r="D21" s="52" t="s">
        <v>197</v>
      </c>
      <c r="E21" s="37"/>
      <c r="F21" s="37"/>
      <c r="G21" s="37"/>
    </row>
    <row r="22" customFormat="false" ht="15" hidden="false" customHeight="true" outlineLevel="0" collapsed="false">
      <c r="A22" s="37"/>
      <c r="B22" s="37"/>
      <c r="C22" s="37"/>
      <c r="D22" s="37"/>
      <c r="E22" s="37"/>
      <c r="F22" s="37"/>
      <c r="G22" s="37"/>
    </row>
    <row r="23" customFormat="false" ht="15" hidden="false" customHeight="true" outlineLevel="0" collapsed="false">
      <c r="A23" s="37"/>
      <c r="B23" s="37"/>
      <c r="C23" s="37"/>
      <c r="D23" s="37"/>
      <c r="E23" s="37"/>
      <c r="F23" s="37"/>
      <c r="G23" s="37"/>
    </row>
    <row r="24" customFormat="false" ht="15" hidden="false" customHeight="true" outlineLevel="0" collapsed="false">
      <c r="A24" s="37"/>
      <c r="B24" s="37"/>
      <c r="C24" s="37"/>
      <c r="D24" s="37"/>
      <c r="E24" s="37"/>
      <c r="F24" s="37"/>
      <c r="G24" s="37"/>
    </row>
    <row r="25" customFormat="false" ht="15" hidden="false" customHeight="true" outlineLevel="0" collapsed="false">
      <c r="A25" s="37"/>
      <c r="B25" s="37"/>
      <c r="C25" s="37"/>
      <c r="D25" s="37"/>
      <c r="E25" s="37"/>
      <c r="F25" s="37"/>
      <c r="G25" s="37"/>
    </row>
    <row r="26" customFormat="false" ht="15" hidden="false" customHeight="true" outlineLevel="0" collapsed="false">
      <c r="A26" s="37"/>
      <c r="B26" s="37"/>
      <c r="C26" s="37"/>
      <c r="D26" s="37"/>
      <c r="E26" s="37"/>
      <c r="F26" s="37"/>
      <c r="G26" s="37"/>
    </row>
    <row r="27" customFormat="false" ht="15" hidden="false" customHeight="true" outlineLevel="0" collapsed="false">
      <c r="A27" s="37"/>
      <c r="B27" s="37"/>
      <c r="C27" s="37"/>
      <c r="D27" s="37"/>
      <c r="E27" s="37"/>
      <c r="F27" s="37"/>
      <c r="G27" s="37"/>
    </row>
    <row r="28" customFormat="false" ht="15" hidden="false" customHeight="true" outlineLevel="0" collapsed="false">
      <c r="A28" s="37"/>
      <c r="B28" s="37"/>
      <c r="C28" s="37"/>
      <c r="D28" s="37"/>
      <c r="E28" s="37"/>
      <c r="F28" s="37"/>
      <c r="G28" s="37"/>
    </row>
    <row r="29" customFormat="false" ht="15" hidden="false" customHeight="true" outlineLevel="0" collapsed="false">
      <c r="A29" s="37"/>
      <c r="B29" s="37"/>
      <c r="C29" s="37"/>
      <c r="D29" s="37"/>
      <c r="E29" s="37"/>
      <c r="F29" s="37"/>
      <c r="G29" s="37"/>
    </row>
    <row r="30" customFormat="false" ht="15" hidden="false" customHeight="true" outlineLevel="0" collapsed="false">
      <c r="A30" s="37"/>
      <c r="B30" s="37"/>
      <c r="C30" s="37"/>
      <c r="D30" s="37"/>
      <c r="E30" s="37"/>
      <c r="F30" s="37"/>
      <c r="G30" s="37"/>
    </row>
    <row r="31" customFormat="false" ht="15" hidden="false" customHeight="true" outlineLevel="0" collapsed="false">
      <c r="A31" s="37"/>
      <c r="B31" s="37"/>
      <c r="C31" s="37"/>
      <c r="D31" s="37"/>
      <c r="E31" s="37"/>
      <c r="F31" s="37"/>
      <c r="G31" s="37"/>
    </row>
    <row r="32" customFormat="false" ht="15" hidden="false" customHeight="true" outlineLevel="0" collapsed="false">
      <c r="A32" s="37"/>
      <c r="B32" s="37"/>
      <c r="C32" s="37"/>
      <c r="D32" s="37"/>
      <c r="E32" s="37"/>
      <c r="F32" s="37"/>
      <c r="G32" s="37"/>
    </row>
    <row r="33" customFormat="false" ht="15" hidden="false" customHeight="true" outlineLevel="0" collapsed="false">
      <c r="A33" s="37"/>
      <c r="B33" s="37"/>
      <c r="C33" s="37"/>
      <c r="D33" s="37"/>
      <c r="E33" s="37"/>
      <c r="F33" s="37"/>
      <c r="G33" s="37"/>
    </row>
    <row r="34" customFormat="false" ht="15" hidden="false" customHeight="true" outlineLevel="0" collapsed="false">
      <c r="A34" s="37"/>
      <c r="B34" s="37"/>
      <c r="C34" s="37"/>
      <c r="D34" s="37"/>
      <c r="E34" s="37"/>
      <c r="F34" s="37"/>
      <c r="G34" s="37"/>
    </row>
  </sheetData>
  <mergeCells count="3">
    <mergeCell ref="B1:G1"/>
    <mergeCell ref="B3:D3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22"/>
    <col collapsed="false" customWidth="true" hidden="false" outlineLevel="0" max="4" min="4" style="1" width="36"/>
    <col collapsed="false" customWidth="true" hidden="false" outlineLevel="0" max="5" min="5" style="1" width="3"/>
    <col collapsed="false" customWidth="true" hidden="false" outlineLevel="0" max="6" min="6" style="1" width="30"/>
  </cols>
  <sheetData>
    <row r="1" customFormat="false" ht="19.5" hidden="false" customHeight="true" outlineLevel="0" collapsed="false">
      <c r="A1" s="37"/>
      <c r="B1" s="3" t="s">
        <v>198</v>
      </c>
      <c r="C1" s="3"/>
      <c r="D1" s="3"/>
      <c r="E1" s="3"/>
      <c r="F1" s="3"/>
    </row>
    <row r="2" customFormat="false" ht="15" hidden="false" customHeight="true" outlineLevel="0" collapsed="false">
      <c r="A2" s="37"/>
      <c r="B2" s="37"/>
      <c r="C2" s="37"/>
      <c r="D2" s="37"/>
      <c r="E2" s="37"/>
      <c r="F2" s="37"/>
    </row>
    <row r="3" customFormat="false" ht="15.75" hidden="false" customHeight="true" outlineLevel="0" collapsed="false">
      <c r="A3" s="37"/>
      <c r="B3" s="49" t="s">
        <v>199</v>
      </c>
      <c r="C3" s="49"/>
      <c r="D3" s="49"/>
      <c r="E3" s="37"/>
      <c r="F3" s="37"/>
    </row>
    <row r="4" customFormat="false" ht="15" hidden="false" customHeight="true" outlineLevel="0" collapsed="false">
      <c r="A4" s="37"/>
      <c r="B4" s="15" t="s">
        <v>200</v>
      </c>
      <c r="C4" s="15" t="s">
        <v>201</v>
      </c>
      <c r="D4" s="15" t="s">
        <v>202</v>
      </c>
      <c r="E4" s="37"/>
      <c r="F4" s="37"/>
    </row>
    <row r="5" customFormat="false" ht="15" hidden="false" customHeight="true" outlineLevel="0" collapsed="false">
      <c r="A5" s="37"/>
      <c r="B5" s="52" t="s">
        <v>203</v>
      </c>
      <c r="C5" s="58" t="s">
        <v>141</v>
      </c>
      <c r="D5" s="52" t="s">
        <v>204</v>
      </c>
      <c r="E5" s="37"/>
      <c r="F5" s="37"/>
    </row>
    <row r="6" customFormat="false" ht="15" hidden="false" customHeight="true" outlineLevel="0" collapsed="false">
      <c r="A6" s="37"/>
      <c r="B6" s="55" t="s">
        <v>205</v>
      </c>
      <c r="C6" s="59" t="s">
        <v>135</v>
      </c>
      <c r="D6" s="55" t="s">
        <v>206</v>
      </c>
      <c r="E6" s="37"/>
      <c r="F6" s="37"/>
    </row>
    <row r="7" customFormat="false" ht="15" hidden="false" customHeight="true" outlineLevel="0" collapsed="false">
      <c r="A7" s="37"/>
      <c r="B7" s="52" t="s">
        <v>207</v>
      </c>
      <c r="C7" s="58" t="s">
        <v>139</v>
      </c>
      <c r="D7" s="52" t="s">
        <v>208</v>
      </c>
      <c r="E7" s="37"/>
      <c r="F7" s="37"/>
    </row>
    <row r="8" customFormat="false" ht="15" hidden="false" customHeight="true" outlineLevel="0" collapsed="false">
      <c r="A8" s="37"/>
      <c r="B8" s="55" t="s">
        <v>209</v>
      </c>
      <c r="C8" s="59" t="s">
        <v>210</v>
      </c>
      <c r="D8" s="55" t="s">
        <v>211</v>
      </c>
      <c r="E8" s="37"/>
      <c r="F8" s="37"/>
    </row>
    <row r="9" customFormat="false" ht="15" hidden="false" customHeight="true" outlineLevel="0" collapsed="false">
      <c r="A9" s="37"/>
      <c r="B9" s="52" t="s">
        <v>212</v>
      </c>
      <c r="C9" s="58" t="s">
        <v>213</v>
      </c>
      <c r="D9" s="52" t="s">
        <v>214</v>
      </c>
      <c r="E9" s="37"/>
      <c r="F9" s="37"/>
    </row>
    <row r="10" customFormat="false" ht="15" hidden="false" customHeight="true" outlineLevel="0" collapsed="false">
      <c r="A10" s="37"/>
      <c r="B10" s="55" t="s">
        <v>215</v>
      </c>
      <c r="C10" s="59" t="s">
        <v>216</v>
      </c>
      <c r="D10" s="55" t="s">
        <v>217</v>
      </c>
      <c r="E10" s="37"/>
      <c r="F10" s="37"/>
    </row>
    <row r="11" customFormat="false" ht="15" hidden="false" customHeight="true" outlineLevel="0" collapsed="false">
      <c r="A11" s="37"/>
      <c r="B11" s="52" t="s">
        <v>218</v>
      </c>
      <c r="C11" s="58" t="s">
        <v>219</v>
      </c>
      <c r="D11" s="52" t="s">
        <v>220</v>
      </c>
      <c r="E11" s="37"/>
      <c r="F11" s="37"/>
    </row>
    <row r="12" customFormat="false" ht="15" hidden="false" customHeight="true" outlineLevel="0" collapsed="false">
      <c r="A12" s="37"/>
      <c r="B12" s="55" t="s">
        <v>221</v>
      </c>
      <c r="C12" s="59" t="s">
        <v>222</v>
      </c>
      <c r="D12" s="55" t="s">
        <v>223</v>
      </c>
      <c r="E12" s="37"/>
      <c r="F12" s="37"/>
    </row>
    <row r="13" customFormat="false" ht="15" hidden="false" customHeight="true" outlineLevel="0" collapsed="false">
      <c r="A13" s="37"/>
      <c r="B13" s="37"/>
      <c r="C13" s="37"/>
      <c r="D13" s="37"/>
      <c r="E13" s="37"/>
      <c r="F13" s="37"/>
    </row>
    <row r="14" customFormat="false" ht="15.75" hidden="false" customHeight="true" outlineLevel="0" collapsed="false">
      <c r="A14" s="37"/>
      <c r="B14" s="60" t="s">
        <v>224</v>
      </c>
      <c r="C14" s="60"/>
      <c r="D14" s="60"/>
      <c r="E14" s="37"/>
      <c r="F14" s="37"/>
    </row>
    <row r="15" customFormat="false" ht="15" hidden="false" customHeight="true" outlineLevel="0" collapsed="false">
      <c r="A15" s="37"/>
      <c r="B15" s="15" t="s">
        <v>225</v>
      </c>
      <c r="C15" s="15" t="s">
        <v>226</v>
      </c>
      <c r="D15" s="15" t="s">
        <v>227</v>
      </c>
      <c r="E15" s="37"/>
      <c r="F15" s="37"/>
    </row>
    <row r="16" customFormat="false" ht="15" hidden="false" customHeight="true" outlineLevel="0" collapsed="false">
      <c r="A16" s="37"/>
      <c r="B16" s="61" t="s">
        <v>228</v>
      </c>
      <c r="C16" s="52" t="s">
        <v>229</v>
      </c>
      <c r="D16" s="62" t="s">
        <v>230</v>
      </c>
      <c r="E16" s="37"/>
      <c r="F16" s="37"/>
    </row>
    <row r="17" customFormat="false" ht="15" hidden="false" customHeight="true" outlineLevel="0" collapsed="false">
      <c r="A17" s="37"/>
      <c r="B17" s="55" t="s">
        <v>231</v>
      </c>
      <c r="C17" s="55" t="s">
        <v>232</v>
      </c>
      <c r="D17" s="63" t="s">
        <v>233</v>
      </c>
      <c r="E17" s="37"/>
      <c r="F17" s="37"/>
    </row>
    <row r="18" customFormat="false" ht="15" hidden="false" customHeight="true" outlineLevel="0" collapsed="false">
      <c r="A18" s="37"/>
      <c r="B18" s="52" t="s">
        <v>234</v>
      </c>
      <c r="C18" s="52" t="s">
        <v>235</v>
      </c>
      <c r="D18" s="62" t="s">
        <v>236</v>
      </c>
      <c r="E18" s="37"/>
      <c r="F18" s="37"/>
    </row>
    <row r="19" customFormat="false" ht="15" hidden="false" customHeight="true" outlineLevel="0" collapsed="false">
      <c r="A19" s="37"/>
      <c r="B19" s="55" t="s">
        <v>237</v>
      </c>
      <c r="C19" s="55" t="s">
        <v>238</v>
      </c>
      <c r="D19" s="63" t="s">
        <v>239</v>
      </c>
      <c r="E19" s="37"/>
      <c r="F19" s="37"/>
    </row>
    <row r="20" customFormat="false" ht="15" hidden="false" customHeight="true" outlineLevel="0" collapsed="false">
      <c r="A20" s="37"/>
      <c r="B20" s="52" t="s">
        <v>240</v>
      </c>
      <c r="C20" s="52" t="s">
        <v>241</v>
      </c>
      <c r="D20" s="62" t="s">
        <v>242</v>
      </c>
      <c r="E20" s="37"/>
      <c r="F20" s="37"/>
    </row>
    <row r="21" customFormat="false" ht="15" hidden="false" customHeight="true" outlineLevel="0" collapsed="false">
      <c r="A21" s="37"/>
      <c r="B21" s="55" t="s">
        <v>243</v>
      </c>
      <c r="C21" s="55" t="s">
        <v>244</v>
      </c>
      <c r="D21" s="63" t="s">
        <v>245</v>
      </c>
      <c r="E21" s="37"/>
      <c r="F21" s="37"/>
    </row>
    <row r="22" customFormat="false" ht="15" hidden="false" customHeight="true" outlineLevel="0" collapsed="false">
      <c r="A22" s="37"/>
      <c r="B22" s="52" t="s">
        <v>246</v>
      </c>
      <c r="C22" s="52" t="s">
        <v>247</v>
      </c>
      <c r="D22" s="62" t="s">
        <v>248</v>
      </c>
      <c r="E22" s="37"/>
      <c r="F22" s="37"/>
    </row>
    <row r="23" customFormat="false" ht="15" hidden="false" customHeight="true" outlineLevel="0" collapsed="false">
      <c r="A23" s="37"/>
      <c r="B23" s="55" t="s">
        <v>249</v>
      </c>
      <c r="C23" s="55" t="s">
        <v>250</v>
      </c>
      <c r="D23" s="63" t="s">
        <v>251</v>
      </c>
      <c r="E23" s="37"/>
      <c r="F23" s="37"/>
    </row>
    <row r="24" customFormat="false" ht="15" hidden="false" customHeight="true" outlineLevel="0" collapsed="false">
      <c r="A24" s="37"/>
      <c r="B24" s="52" t="s">
        <v>252</v>
      </c>
      <c r="C24" s="52" t="s">
        <v>253</v>
      </c>
      <c r="D24" s="62" t="s">
        <v>254</v>
      </c>
      <c r="E24" s="37"/>
      <c r="F24" s="37"/>
    </row>
    <row r="25" customFormat="false" ht="15" hidden="false" customHeight="true" outlineLevel="0" collapsed="false">
      <c r="A25" s="37"/>
      <c r="B25" s="37"/>
      <c r="C25" s="37"/>
      <c r="D25" s="37"/>
      <c r="E25" s="37"/>
      <c r="F25" s="37"/>
    </row>
    <row r="26" customFormat="false" ht="15" hidden="false" customHeight="true" outlineLevel="0" collapsed="false">
      <c r="A26" s="37"/>
      <c r="B26" s="37"/>
      <c r="C26" s="37"/>
      <c r="D26" s="37"/>
      <c r="E26" s="37"/>
      <c r="F26" s="37"/>
    </row>
    <row r="27" customFormat="false" ht="15" hidden="false" customHeight="true" outlineLevel="0" collapsed="false">
      <c r="A27" s="37"/>
      <c r="B27" s="37"/>
      <c r="C27" s="37"/>
      <c r="D27" s="37"/>
      <c r="E27" s="37"/>
      <c r="F27" s="37"/>
    </row>
    <row r="28" customFormat="false" ht="15" hidden="false" customHeight="true" outlineLevel="0" collapsed="false">
      <c r="A28" s="37"/>
      <c r="B28" s="37"/>
      <c r="C28" s="37"/>
      <c r="D28" s="37"/>
      <c r="E28" s="37"/>
      <c r="F28" s="37"/>
    </row>
    <row r="29" customFormat="false" ht="15" hidden="false" customHeight="true" outlineLevel="0" collapsed="false">
      <c r="A29" s="37"/>
      <c r="B29" s="37"/>
      <c r="C29" s="37"/>
      <c r="D29" s="37"/>
      <c r="E29" s="37"/>
      <c r="F29" s="37"/>
    </row>
    <row r="30" customFormat="false" ht="15" hidden="false" customHeight="true" outlineLevel="0" collapsed="false">
      <c r="A30" s="37"/>
      <c r="B30" s="37"/>
      <c r="C30" s="37"/>
      <c r="D30" s="37"/>
      <c r="E30" s="37"/>
      <c r="F30" s="37"/>
    </row>
    <row r="31" customFormat="false" ht="15" hidden="false" customHeight="true" outlineLevel="0" collapsed="false">
      <c r="A31" s="37"/>
      <c r="B31" s="37"/>
      <c r="C31" s="37"/>
      <c r="D31" s="37"/>
      <c r="E31" s="37"/>
      <c r="F31" s="37"/>
    </row>
    <row r="32" customFormat="false" ht="15" hidden="false" customHeight="true" outlineLevel="0" collapsed="false">
      <c r="A32" s="37"/>
      <c r="B32" s="37"/>
      <c r="C32" s="37"/>
      <c r="D32" s="37"/>
      <c r="E32" s="37"/>
      <c r="F32" s="37"/>
    </row>
    <row r="33" customFormat="false" ht="15" hidden="false" customHeight="true" outlineLevel="0" collapsed="false">
      <c r="A33" s="37"/>
      <c r="B33" s="37"/>
      <c r="C33" s="37"/>
      <c r="D33" s="37"/>
      <c r="E33" s="37"/>
      <c r="F33" s="37"/>
    </row>
    <row r="34" customFormat="false" ht="15" hidden="false" customHeight="true" outlineLevel="0" collapsed="false">
      <c r="A34" s="37"/>
      <c r="B34" s="37"/>
      <c r="C34" s="37"/>
      <c r="D34" s="37"/>
      <c r="E34" s="37"/>
      <c r="F34" s="37"/>
    </row>
    <row r="35" customFormat="false" ht="15" hidden="false" customHeight="true" outlineLevel="0" collapsed="false">
      <c r="A35" s="37"/>
      <c r="B35" s="37"/>
      <c r="C35" s="37"/>
      <c r="D35" s="37"/>
      <c r="E35" s="37"/>
      <c r="F35" s="37"/>
    </row>
    <row r="36" customFormat="false" ht="15" hidden="false" customHeight="true" outlineLevel="0" collapsed="false">
      <c r="A36" s="37"/>
      <c r="B36" s="37"/>
      <c r="C36" s="37"/>
      <c r="D36" s="37"/>
      <c r="E36" s="37"/>
      <c r="F36" s="37"/>
    </row>
    <row r="37" customFormat="false" ht="15" hidden="false" customHeight="true" outlineLevel="0" collapsed="false">
      <c r="A37" s="37"/>
      <c r="B37" s="37"/>
      <c r="C37" s="37"/>
      <c r="D37" s="37"/>
      <c r="E37" s="37"/>
      <c r="F37" s="37"/>
    </row>
    <row r="38" customFormat="false" ht="15" hidden="false" customHeight="true" outlineLevel="0" collapsed="false">
      <c r="A38" s="37"/>
      <c r="B38" s="37"/>
      <c r="C38" s="37"/>
      <c r="D38" s="37"/>
      <c r="E38" s="37"/>
      <c r="F38" s="37"/>
    </row>
    <row r="39" customFormat="false" ht="15" hidden="false" customHeight="true" outlineLevel="0" collapsed="false">
      <c r="A39" s="37"/>
      <c r="B39" s="37"/>
      <c r="C39" s="37"/>
      <c r="D39" s="37"/>
      <c r="E39" s="37"/>
      <c r="F39" s="37"/>
    </row>
  </sheetData>
  <mergeCells count="3">
    <mergeCell ref="B1:F1"/>
    <mergeCell ref="B3:D3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44"/>
    <col collapsed="false" customWidth="true" hidden="false" outlineLevel="0" max="4" min="4" style="1" width="36"/>
  </cols>
  <sheetData>
    <row r="1" customFormat="false" ht="19.5" hidden="false" customHeight="true" outlineLevel="0" collapsed="false">
      <c r="A1" s="37"/>
      <c r="B1" s="3" t="s">
        <v>255</v>
      </c>
      <c r="C1" s="3"/>
      <c r="D1" s="3"/>
      <c r="E1" s="37"/>
      <c r="F1" s="37"/>
    </row>
    <row r="2" customFormat="false" ht="15" hidden="false" customHeight="true" outlineLevel="0" collapsed="false">
      <c r="A2" s="37"/>
      <c r="B2" s="37"/>
      <c r="C2" s="37"/>
      <c r="D2" s="37"/>
      <c r="E2" s="37"/>
      <c r="F2" s="37"/>
    </row>
    <row r="3" customFormat="false" ht="15.75" hidden="false" customHeight="true" outlineLevel="0" collapsed="false">
      <c r="A3" s="37"/>
      <c r="B3" s="49" t="s">
        <v>256</v>
      </c>
      <c r="C3" s="49"/>
      <c r="D3" s="49"/>
      <c r="E3" s="37"/>
      <c r="F3" s="37"/>
    </row>
    <row r="4" customFormat="false" ht="15" hidden="false" customHeight="true" outlineLevel="0" collapsed="false">
      <c r="A4" s="37"/>
      <c r="B4" s="15" t="s">
        <v>257</v>
      </c>
      <c r="C4" s="15" t="s">
        <v>258</v>
      </c>
      <c r="D4" s="15" t="s">
        <v>8</v>
      </c>
      <c r="E4" s="37"/>
      <c r="F4" s="37"/>
    </row>
    <row r="5" customFormat="false" ht="15" hidden="false" customHeight="true" outlineLevel="0" collapsed="false">
      <c r="A5" s="37"/>
      <c r="B5" s="38" t="s">
        <v>259</v>
      </c>
      <c r="C5" s="64" t="s">
        <v>260</v>
      </c>
      <c r="D5" s="42" t="s">
        <v>261</v>
      </c>
      <c r="E5" s="37"/>
      <c r="F5" s="37"/>
    </row>
    <row r="6" customFormat="false" ht="15" hidden="false" customHeight="true" outlineLevel="0" collapsed="false">
      <c r="A6" s="37"/>
      <c r="B6" s="37"/>
      <c r="C6" s="37"/>
      <c r="D6" s="37"/>
      <c r="E6" s="37"/>
      <c r="F6" s="37"/>
    </row>
    <row r="7" customFormat="false" ht="15.75" hidden="false" customHeight="true" outlineLevel="0" collapsed="false">
      <c r="A7" s="37"/>
      <c r="B7" s="60" t="s">
        <v>262</v>
      </c>
      <c r="C7" s="60"/>
      <c r="D7" s="60"/>
      <c r="E7" s="37"/>
      <c r="F7" s="37"/>
    </row>
    <row r="8" customFormat="false" ht="15" hidden="false" customHeight="true" outlineLevel="0" collapsed="false">
      <c r="A8" s="37"/>
      <c r="B8" s="15" t="s">
        <v>263</v>
      </c>
      <c r="C8" s="15" t="s">
        <v>258</v>
      </c>
      <c r="D8" s="15" t="s">
        <v>8</v>
      </c>
      <c r="E8" s="37"/>
      <c r="F8" s="37"/>
    </row>
    <row r="9" customFormat="false" ht="15" hidden="false" customHeight="true" outlineLevel="0" collapsed="false">
      <c r="A9" s="37"/>
      <c r="B9" s="61" t="s">
        <v>41</v>
      </c>
      <c r="C9" s="51" t="s">
        <v>264</v>
      </c>
      <c r="D9" s="62" t="s">
        <v>265</v>
      </c>
      <c r="E9" s="37"/>
      <c r="F9" s="37"/>
    </row>
    <row r="10" customFormat="false" ht="15" hidden="false" customHeight="true" outlineLevel="0" collapsed="false">
      <c r="A10" s="37"/>
      <c r="B10" s="65" t="s">
        <v>45</v>
      </c>
      <c r="C10" s="54" t="s">
        <v>266</v>
      </c>
      <c r="D10" s="63" t="s">
        <v>267</v>
      </c>
      <c r="E10" s="37"/>
      <c r="F10" s="37"/>
    </row>
    <row r="11" customFormat="false" ht="15" hidden="false" customHeight="true" outlineLevel="0" collapsed="false">
      <c r="A11" s="37"/>
      <c r="B11" s="61" t="s">
        <v>268</v>
      </c>
      <c r="C11" s="51" t="s">
        <v>269</v>
      </c>
      <c r="D11" s="62" t="s">
        <v>270</v>
      </c>
      <c r="E11" s="37"/>
      <c r="F11" s="37"/>
    </row>
    <row r="12" customFormat="false" ht="15" hidden="false" customHeight="true" outlineLevel="0" collapsed="false">
      <c r="A12" s="37"/>
      <c r="B12" s="65" t="s">
        <v>271</v>
      </c>
      <c r="C12" s="54" t="s">
        <v>272</v>
      </c>
      <c r="D12" s="63" t="s">
        <v>273</v>
      </c>
      <c r="E12" s="37"/>
      <c r="F12" s="37"/>
    </row>
    <row r="13" customFormat="false" ht="15" hidden="false" customHeight="true" outlineLevel="0" collapsed="false">
      <c r="A13" s="37"/>
      <c r="B13" s="61" t="s">
        <v>274</v>
      </c>
      <c r="C13" s="51" t="s">
        <v>275</v>
      </c>
      <c r="D13" s="62" t="s">
        <v>276</v>
      </c>
      <c r="E13" s="37"/>
      <c r="F13" s="37"/>
    </row>
    <row r="14" customFormat="false" ht="15" hidden="false" customHeight="true" outlineLevel="0" collapsed="false">
      <c r="A14" s="37"/>
      <c r="B14" s="65" t="s">
        <v>277</v>
      </c>
      <c r="C14" s="54" t="s">
        <v>278</v>
      </c>
      <c r="D14" s="63" t="s">
        <v>279</v>
      </c>
      <c r="E14" s="37"/>
      <c r="F14" s="37"/>
    </row>
    <row r="15" customFormat="false" ht="15" hidden="false" customHeight="true" outlineLevel="0" collapsed="false">
      <c r="A15" s="37"/>
      <c r="B15" s="37"/>
      <c r="C15" s="37"/>
      <c r="D15" s="37"/>
      <c r="E15" s="37"/>
      <c r="F15" s="37"/>
    </row>
    <row r="16" customFormat="false" ht="15.75" hidden="false" customHeight="true" outlineLevel="0" collapsed="false">
      <c r="A16" s="37"/>
      <c r="B16" s="66" t="s">
        <v>280</v>
      </c>
      <c r="C16" s="66"/>
      <c r="D16" s="66"/>
      <c r="E16" s="37"/>
      <c r="F16" s="37"/>
    </row>
    <row r="17" customFormat="false" ht="15" hidden="false" customHeight="true" outlineLevel="0" collapsed="false">
      <c r="A17" s="37"/>
      <c r="B17" s="15" t="s">
        <v>263</v>
      </c>
      <c r="C17" s="15" t="s">
        <v>258</v>
      </c>
      <c r="D17" s="15" t="s">
        <v>8</v>
      </c>
      <c r="E17" s="37"/>
      <c r="F17" s="37"/>
    </row>
    <row r="18" customFormat="false" ht="15" hidden="false" customHeight="true" outlineLevel="0" collapsed="false">
      <c r="A18" s="37"/>
      <c r="B18" s="56" t="s">
        <v>77</v>
      </c>
      <c r="C18" s="51" t="s">
        <v>281</v>
      </c>
      <c r="D18" s="62" t="s">
        <v>282</v>
      </c>
      <c r="E18" s="37"/>
      <c r="F18" s="37"/>
    </row>
    <row r="19" customFormat="false" ht="15" hidden="false" customHeight="true" outlineLevel="0" collapsed="false">
      <c r="A19" s="37"/>
      <c r="B19" s="57" t="s">
        <v>283</v>
      </c>
      <c r="C19" s="54" t="s">
        <v>284</v>
      </c>
      <c r="D19" s="63" t="s">
        <v>285</v>
      </c>
      <c r="E19" s="37"/>
      <c r="F19" s="37"/>
    </row>
    <row r="20" customFormat="false" ht="15" hidden="false" customHeight="true" outlineLevel="0" collapsed="false">
      <c r="A20" s="37"/>
      <c r="B20" s="56" t="s">
        <v>286</v>
      </c>
      <c r="C20" s="51" t="s">
        <v>287</v>
      </c>
      <c r="D20" s="62" t="s">
        <v>288</v>
      </c>
      <c r="E20" s="37"/>
      <c r="F20" s="37"/>
    </row>
    <row r="21" customFormat="false" ht="15" hidden="false" customHeight="true" outlineLevel="0" collapsed="false">
      <c r="A21" s="37"/>
      <c r="B21" s="57" t="s">
        <v>289</v>
      </c>
      <c r="C21" s="54" t="s">
        <v>290</v>
      </c>
      <c r="D21" s="63" t="s">
        <v>291</v>
      </c>
      <c r="E21" s="37"/>
      <c r="F21" s="37"/>
    </row>
    <row r="22" customFormat="false" ht="15" hidden="false" customHeight="true" outlineLevel="0" collapsed="false">
      <c r="A22" s="37"/>
      <c r="B22" s="56" t="s">
        <v>292</v>
      </c>
      <c r="C22" s="51" t="s">
        <v>293</v>
      </c>
      <c r="D22" s="62" t="s">
        <v>294</v>
      </c>
      <c r="E22" s="37"/>
      <c r="F22" s="37"/>
    </row>
    <row r="23" customFormat="false" ht="15" hidden="false" customHeight="true" outlineLevel="0" collapsed="false">
      <c r="A23" s="37"/>
      <c r="B23" s="57" t="s">
        <v>295</v>
      </c>
      <c r="C23" s="54" t="s">
        <v>296</v>
      </c>
      <c r="D23" s="63" t="s">
        <v>297</v>
      </c>
      <c r="E23" s="37"/>
      <c r="F23" s="37"/>
    </row>
    <row r="24" customFormat="false" ht="15" hidden="false" customHeight="true" outlineLevel="0" collapsed="false">
      <c r="A24" s="37"/>
      <c r="B24" s="56" t="s">
        <v>298</v>
      </c>
      <c r="C24" s="51" t="s">
        <v>299</v>
      </c>
      <c r="D24" s="62" t="s">
        <v>300</v>
      </c>
      <c r="E24" s="37"/>
      <c r="F24" s="37"/>
    </row>
    <row r="25" customFormat="false" ht="15" hidden="false" customHeight="true" outlineLevel="0" collapsed="false">
      <c r="A25" s="37"/>
      <c r="B25" s="57" t="s">
        <v>301</v>
      </c>
      <c r="C25" s="54" t="s">
        <v>302</v>
      </c>
      <c r="D25" s="63" t="s">
        <v>303</v>
      </c>
      <c r="E25" s="37"/>
      <c r="F25" s="37"/>
    </row>
    <row r="26" customFormat="false" ht="15" hidden="false" customHeight="true" outlineLevel="0" collapsed="false">
      <c r="A26" s="37"/>
      <c r="B26" s="37"/>
      <c r="C26" s="37"/>
      <c r="D26" s="37"/>
      <c r="E26" s="37"/>
      <c r="F26" s="37"/>
    </row>
    <row r="27" customFormat="false" ht="15.75" hidden="false" customHeight="true" outlineLevel="0" collapsed="false">
      <c r="A27" s="37"/>
      <c r="B27" s="49" t="s">
        <v>304</v>
      </c>
      <c r="C27" s="49"/>
      <c r="D27" s="49"/>
      <c r="E27" s="37"/>
      <c r="F27" s="37"/>
    </row>
    <row r="28" customFormat="false" ht="15" hidden="false" customHeight="true" outlineLevel="0" collapsed="false">
      <c r="A28" s="37"/>
      <c r="B28" s="15" t="s">
        <v>263</v>
      </c>
      <c r="C28" s="15" t="s">
        <v>258</v>
      </c>
      <c r="D28" s="15" t="s">
        <v>8</v>
      </c>
      <c r="E28" s="37"/>
      <c r="F28" s="37"/>
    </row>
    <row r="29" customFormat="false" ht="15" hidden="false" customHeight="true" outlineLevel="0" collapsed="false">
      <c r="A29" s="37"/>
      <c r="B29" s="50" t="s">
        <v>305</v>
      </c>
      <c r="C29" s="51" t="s">
        <v>306</v>
      </c>
      <c r="D29" s="62" t="s">
        <v>307</v>
      </c>
      <c r="E29" s="37"/>
      <c r="F29" s="37"/>
    </row>
    <row r="30" customFormat="false" ht="15" hidden="false" customHeight="true" outlineLevel="0" collapsed="false">
      <c r="A30" s="37"/>
      <c r="B30" s="53" t="s">
        <v>308</v>
      </c>
      <c r="C30" s="54" t="s">
        <v>309</v>
      </c>
      <c r="D30" s="63" t="s">
        <v>310</v>
      </c>
      <c r="E30" s="37"/>
      <c r="F30" s="37"/>
    </row>
    <row r="31" customFormat="false" ht="15" hidden="false" customHeight="true" outlineLevel="0" collapsed="false">
      <c r="A31" s="37"/>
      <c r="B31" s="50" t="s">
        <v>311</v>
      </c>
      <c r="C31" s="51" t="s">
        <v>312</v>
      </c>
      <c r="D31" s="62" t="s">
        <v>313</v>
      </c>
      <c r="E31" s="37"/>
      <c r="F31" s="37"/>
    </row>
    <row r="32" customFormat="false" ht="15" hidden="false" customHeight="true" outlineLevel="0" collapsed="false">
      <c r="A32" s="37"/>
      <c r="B32" s="53" t="s">
        <v>314</v>
      </c>
      <c r="C32" s="54" t="s">
        <v>315</v>
      </c>
      <c r="D32" s="63" t="s">
        <v>316</v>
      </c>
      <c r="E32" s="37"/>
      <c r="F32" s="37"/>
    </row>
    <row r="33" customFormat="false" ht="15" hidden="false" customHeight="true" outlineLevel="0" collapsed="false">
      <c r="A33" s="37"/>
      <c r="B33" s="50" t="s">
        <v>317</v>
      </c>
      <c r="C33" s="51" t="s">
        <v>318</v>
      </c>
      <c r="D33" s="62" t="s">
        <v>319</v>
      </c>
      <c r="E33" s="37"/>
      <c r="F33" s="37"/>
    </row>
    <row r="34" customFormat="false" ht="15" hidden="false" customHeight="true" outlineLevel="0" collapsed="false">
      <c r="A34" s="37"/>
      <c r="B34" s="53" t="s">
        <v>320</v>
      </c>
      <c r="C34" s="54" t="s">
        <v>321</v>
      </c>
      <c r="D34" s="63" t="s">
        <v>322</v>
      </c>
      <c r="E34" s="37"/>
      <c r="F34" s="37"/>
    </row>
    <row r="35" customFormat="false" ht="15" hidden="false" customHeight="true" outlineLevel="0" collapsed="false">
      <c r="A35" s="37"/>
      <c r="B35" s="37"/>
      <c r="C35" s="37"/>
      <c r="D35" s="37"/>
      <c r="E35" s="37"/>
      <c r="F35" s="37"/>
    </row>
    <row r="36" customFormat="false" ht="15" hidden="false" customHeight="true" outlineLevel="0" collapsed="false">
      <c r="A36" s="37"/>
      <c r="B36" s="37"/>
      <c r="C36" s="37"/>
      <c r="D36" s="37"/>
      <c r="E36" s="37"/>
      <c r="F36" s="37"/>
    </row>
    <row r="37" customFormat="false" ht="15" hidden="false" customHeight="true" outlineLevel="0" collapsed="false">
      <c r="A37" s="37"/>
      <c r="B37" s="37"/>
      <c r="C37" s="37"/>
      <c r="D37" s="37"/>
      <c r="E37" s="37"/>
      <c r="F37" s="37"/>
    </row>
    <row r="38" customFormat="false" ht="15" hidden="false" customHeight="true" outlineLevel="0" collapsed="false">
      <c r="A38" s="37"/>
      <c r="B38" s="37"/>
      <c r="C38" s="37"/>
      <c r="D38" s="37"/>
      <c r="E38" s="37"/>
      <c r="F38" s="37"/>
    </row>
    <row r="39" customFormat="false" ht="15" hidden="false" customHeight="true" outlineLevel="0" collapsed="false">
      <c r="A39" s="37"/>
      <c r="B39" s="37"/>
      <c r="C39" s="37"/>
      <c r="D39" s="37"/>
      <c r="E39" s="37"/>
      <c r="F39" s="37"/>
    </row>
  </sheetData>
  <mergeCells count="5">
    <mergeCell ref="B1:D1"/>
    <mergeCell ref="B3:D3"/>
    <mergeCell ref="B7:D7"/>
    <mergeCell ref="B16:D16"/>
    <mergeCell ref="B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2026-02-12T15:04:28Z</dcterms:created>
  <dc:creator>openpyxl</dc:creator>
  <dc:description/>
  <dc:language>en-US</dc:language>
  <cp:lastModifiedBy/>
  <dcterms:modified xsi:type="dcterms:W3CDTF">2026-02-12T15:04:53Z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